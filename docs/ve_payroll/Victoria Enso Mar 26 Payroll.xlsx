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adi\OneDrive\Desktop\"/>
    </mc:Choice>
  </mc:AlternateContent>
  <xr:revisionPtr revIDLastSave="1" documentId="13_ncr:1_{FB14B54E-0852-43B4-9377-7FA73AF2A7A9}" xr6:coauthVersionLast="47" xr6:coauthVersionMax="47" xr10:uidLastSave="{D0A46F54-673A-634D-AD93-C6489D5878CE}"/>
  <bookViews>
    <workbookView xWindow="-110" yWindow="-110" windowWidth="19420" windowHeight="10300" activeTab="2" xr2:uid="{1B0F8A23-22E3-45E5-80BA-AE3A69FD813E}"/>
  </bookViews>
  <sheets>
    <sheet name="Jan 2026" sheetId="1" r:id="rId1"/>
    <sheet name="Feb 2026" sheetId="2" r:id="rId2"/>
    <sheet name="March 2026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7" i="3" l="1"/>
  <c r="AA17" i="3"/>
  <c r="W17" i="3"/>
  <c r="R17" i="3"/>
  <c r="R21" i="3"/>
  <c r="M17" i="3"/>
  <c r="H17" i="3"/>
  <c r="C17" i="3"/>
  <c r="Z16" i="3"/>
  <c r="Z17" i="3"/>
  <c r="Z21" i="3"/>
  <c r="Q16" i="3"/>
  <c r="L16" i="3"/>
  <c r="G16" i="3"/>
  <c r="B16" i="3"/>
  <c r="AD15" i="3"/>
  <c r="V15" i="3"/>
  <c r="V17" i="3"/>
  <c r="V21" i="3"/>
  <c r="Q15" i="3"/>
  <c r="Q17" i="3"/>
  <c r="L15" i="3"/>
  <c r="G15" i="3"/>
  <c r="B15" i="3"/>
  <c r="AD14" i="3"/>
  <c r="AD20" i="3"/>
  <c r="Z14" i="3"/>
  <c r="Z20" i="3"/>
  <c r="V14" i="3"/>
  <c r="V20" i="3"/>
  <c r="Q14" i="3"/>
  <c r="L14" i="3"/>
  <c r="L20" i="3"/>
  <c r="G14" i="3"/>
  <c r="G20" i="3"/>
  <c r="B14" i="3"/>
  <c r="B20" i="3"/>
  <c r="AE17" i="2"/>
  <c r="AA17" i="2"/>
  <c r="W17" i="2"/>
  <c r="R17" i="2"/>
  <c r="R21" i="2"/>
  <c r="M17" i="2"/>
  <c r="H17" i="2"/>
  <c r="C17" i="2"/>
  <c r="Z16" i="2"/>
  <c r="Z17" i="2"/>
  <c r="Z21" i="2"/>
  <c r="Q16" i="2"/>
  <c r="L16" i="2"/>
  <c r="G16" i="2"/>
  <c r="B16" i="2"/>
  <c r="AD15" i="2"/>
  <c r="AD17" i="2"/>
  <c r="AD21" i="2"/>
  <c r="V15" i="2"/>
  <c r="V17" i="2"/>
  <c r="V21" i="2"/>
  <c r="Q15" i="2"/>
  <c r="L15" i="2"/>
  <c r="G15" i="2"/>
  <c r="B15" i="2"/>
  <c r="AD14" i="2"/>
  <c r="AD20" i="2"/>
  <c r="Z14" i="2"/>
  <c r="Z20" i="2"/>
  <c r="V14" i="2"/>
  <c r="V20" i="2"/>
  <c r="Q14" i="2"/>
  <c r="L14" i="2"/>
  <c r="L20" i="2"/>
  <c r="G14" i="2"/>
  <c r="G20" i="2"/>
  <c r="B14" i="2"/>
  <c r="B5" i="1"/>
  <c r="AE17" i="1"/>
  <c r="AD15" i="1"/>
  <c r="AD17" i="1"/>
  <c r="AD21" i="1"/>
  <c r="AD14" i="1"/>
  <c r="AD20" i="1"/>
  <c r="V17" i="1"/>
  <c r="W17" i="1"/>
  <c r="AA17" i="1"/>
  <c r="B16" i="1"/>
  <c r="B17" i="1"/>
  <c r="R17" i="1"/>
  <c r="R21" i="1"/>
  <c r="M17" i="1"/>
  <c r="H17" i="1"/>
  <c r="C17" i="1"/>
  <c r="Z16" i="1"/>
  <c r="Z17" i="1"/>
  <c r="Z21" i="1"/>
  <c r="Q16" i="1"/>
  <c r="L16" i="1"/>
  <c r="G16" i="1"/>
  <c r="V15" i="1"/>
  <c r="V21" i="1"/>
  <c r="Q15" i="1"/>
  <c r="L15" i="1"/>
  <c r="G15" i="1"/>
  <c r="B15" i="1"/>
  <c r="Z14" i="1"/>
  <c r="Z20" i="1"/>
  <c r="V14" i="1"/>
  <c r="V20" i="1"/>
  <c r="Q14" i="1"/>
  <c r="L14" i="1"/>
  <c r="L20" i="1"/>
  <c r="G14" i="1"/>
  <c r="B14" i="1"/>
  <c r="B20" i="1"/>
  <c r="B5" i="3"/>
  <c r="AD17" i="3"/>
  <c r="AD21" i="3"/>
  <c r="Z22" i="3"/>
  <c r="Z27" i="3"/>
  <c r="C7" i="3"/>
  <c r="V22" i="3"/>
  <c r="V27" i="3"/>
  <c r="B6" i="3"/>
  <c r="G17" i="3"/>
  <c r="G21" i="3"/>
  <c r="G22" i="3"/>
  <c r="G27" i="3"/>
  <c r="L17" i="3"/>
  <c r="L21" i="3"/>
  <c r="L22" i="3"/>
  <c r="L27" i="3"/>
  <c r="AD22" i="3"/>
  <c r="AD27" i="3"/>
  <c r="B4" i="3"/>
  <c r="B17" i="3"/>
  <c r="B21" i="3"/>
  <c r="B22" i="3"/>
  <c r="B5" i="2"/>
  <c r="B6" i="2"/>
  <c r="B17" i="2"/>
  <c r="B21" i="2"/>
  <c r="B4" i="2"/>
  <c r="G17" i="2"/>
  <c r="G21" i="2"/>
  <c r="G22" i="2"/>
  <c r="G27" i="2"/>
  <c r="Q17" i="2"/>
  <c r="C7" i="2"/>
  <c r="L17" i="2"/>
  <c r="L21" i="2"/>
  <c r="L22" i="2"/>
  <c r="L27" i="2"/>
  <c r="Z22" i="2"/>
  <c r="Z27" i="2"/>
  <c r="V22" i="2"/>
  <c r="V27" i="2"/>
  <c r="AD22" i="2"/>
  <c r="AD27" i="2"/>
  <c r="B20" i="2"/>
  <c r="AD22" i="1"/>
  <c r="AD27" i="1"/>
  <c r="L17" i="1"/>
  <c r="L21" i="1"/>
  <c r="L22" i="1"/>
  <c r="L27" i="1"/>
  <c r="G17" i="1"/>
  <c r="G21" i="1"/>
  <c r="B6" i="1"/>
  <c r="B21" i="1"/>
  <c r="B22" i="1"/>
  <c r="C7" i="1"/>
  <c r="B4" i="1"/>
  <c r="V22" i="1"/>
  <c r="V27" i="1"/>
  <c r="Z22" i="1"/>
  <c r="Z27" i="1"/>
  <c r="G20" i="1"/>
  <c r="Q17" i="1"/>
  <c r="B7" i="3"/>
  <c r="B8" i="3"/>
  <c r="B10" i="3"/>
  <c r="B27" i="3"/>
  <c r="B22" i="2"/>
  <c r="B8" i="2"/>
  <c r="B10" i="2"/>
  <c r="B7" i="2"/>
  <c r="G22" i="1"/>
  <c r="G27" i="1"/>
  <c r="B7" i="1"/>
  <c r="B27" i="1"/>
  <c r="B27" i="2"/>
  <c r="B8" i="1"/>
  <c r="B10" i="1"/>
</calcChain>
</file>

<file path=xl/sharedStrings.xml><?xml version="1.0" encoding="utf-8"?>
<sst xmlns="http://schemas.openxmlformats.org/spreadsheetml/2006/main" count="177" uniqueCount="39">
  <si>
    <t>VICTORIAENSO PAYNOW - 98803379</t>
  </si>
  <si>
    <t>Total Hours</t>
  </si>
  <si>
    <t>Total Sales Takashimaya</t>
  </si>
  <si>
    <t xml:space="preserve">Total Sales </t>
  </si>
  <si>
    <t xml:space="preserve">Gross Salary </t>
  </si>
  <si>
    <t>Total Staff Costs</t>
  </si>
  <si>
    <t xml:space="preserve">Person: Evonne </t>
  </si>
  <si>
    <t>Person: Rinku</t>
  </si>
  <si>
    <t>Person: Gladis</t>
  </si>
  <si>
    <t>Person: Irina</t>
  </si>
  <si>
    <t xml:space="preserve">Person: Michelle </t>
  </si>
  <si>
    <t>Person: Shiela</t>
  </si>
  <si>
    <t>PayNow 80818709</t>
  </si>
  <si>
    <t>Total Hrs</t>
  </si>
  <si>
    <t>Total Sales Isetan</t>
  </si>
  <si>
    <t>Total Sales</t>
  </si>
  <si>
    <t>Hour Rate</t>
  </si>
  <si>
    <t>Sales (%)</t>
  </si>
  <si>
    <t>Gross Hour</t>
  </si>
  <si>
    <t>Commission</t>
  </si>
  <si>
    <t xml:space="preserve"> </t>
  </si>
  <si>
    <t>Gross Payment</t>
  </si>
  <si>
    <t>Employer CPF + SDL</t>
  </si>
  <si>
    <t>Employee CPF</t>
  </si>
  <si>
    <t>Total CPF</t>
  </si>
  <si>
    <t>Other Payment</t>
  </si>
  <si>
    <t>Giro Payment</t>
  </si>
  <si>
    <t>Date</t>
  </si>
  <si>
    <t>Hrs</t>
  </si>
  <si>
    <t>Taka Sales ($)</t>
  </si>
  <si>
    <t>PayNow Sales/Cash ($)</t>
  </si>
  <si>
    <t>On-Line Sales ($)</t>
  </si>
  <si>
    <t>Issetan Scotts Sales ($)</t>
  </si>
  <si>
    <t>PayNow Sales ($)</t>
  </si>
  <si>
    <t>Jan 2026 Payroll</t>
  </si>
  <si>
    <t>Person: Oiver</t>
  </si>
  <si>
    <t>PayNow 82189326</t>
  </si>
  <si>
    <t>Feb 2026 Payroll</t>
  </si>
  <si>
    <t>March 2026 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</si>
</sst>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"/>
    <numFmt numFmtId="165" formatCode="&quot;$&quot;#,##0.00;[Red]&quot;$&quot;#,##0.00"/>
    <numFmt numFmtId="166" formatCode="&quot;$&quot;#,##0.00"/>
    <numFmt numFmtId="167" formatCode="[$£-809]#,##0.00"/>
    <numFmt numFmtId="168" formatCode="#,##0.00;\(#,##0.00\)"/>
    <numFmt numFmtId="169" formatCode="[$-14809]d/m/yyyy;@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rial"/>
    </font>
    <font>
      <sz val="10"/>
      <color theme="1"/>
      <name val="Aptos Narrow"/>
      <family val="2"/>
      <scheme val="minor"/>
    </font>
    <font>
      <b/>
      <sz val="11"/>
      <color theme="1"/>
      <name val="Arial"/>
    </font>
    <font>
      <sz val="10"/>
      <color theme="1"/>
      <name val="Arial"/>
    </font>
    <font>
      <sz val="9"/>
      <color theme="1"/>
      <name val="Aptos Narrow"/>
      <family val="2"/>
      <scheme val="minor"/>
    </font>
    <font>
      <b/>
      <sz val="10"/>
      <color theme="1"/>
      <name val="Arial"/>
    </font>
    <font>
      <b/>
      <sz val="9"/>
      <color theme="1"/>
      <name val="Arial"/>
    </font>
    <font>
      <sz val="10"/>
      <color rgb="FFFFFFFF"/>
      <name val="Arial"/>
    </font>
    <font>
      <sz val="9"/>
      <color theme="1"/>
      <name val="Arial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14999847407452621"/>
        <bgColor rgb="FFEFEFEF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8A5B"/>
        <bgColor indexed="64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  <fill>
      <patternFill patternType="solid">
        <fgColor theme="6"/>
        <bgColor theme="6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theme="9" tint="0.59999389629810485"/>
        <bgColor rgb="FFF1C232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2" fontId="3" fillId="0" borderId="0" xfId="0" applyNumberFormat="1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/>
    <xf numFmtId="2" fontId="5" fillId="0" borderId="0" xfId="0" applyNumberFormat="1" applyFont="1"/>
    <xf numFmtId="0" fontId="6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/>
    <xf numFmtId="1" fontId="0" fillId="0" borderId="0" xfId="0" applyNumberFormat="1"/>
    <xf numFmtId="164" fontId="4" fillId="2" borderId="0" xfId="0" applyNumberFormat="1" applyFont="1" applyFill="1"/>
    <xf numFmtId="165" fontId="4" fillId="3" borderId="0" xfId="0" applyNumberFormat="1" applyFont="1" applyFill="1"/>
    <xf numFmtId="165" fontId="4" fillId="2" borderId="0" xfId="0" applyNumberFormat="1" applyFont="1" applyFill="1"/>
    <xf numFmtId="166" fontId="4" fillId="2" borderId="0" xfId="0" applyNumberFormat="1" applyFont="1" applyFill="1"/>
    <xf numFmtId="165" fontId="3" fillId="4" borderId="0" xfId="0" applyNumberFormat="1" applyFont="1" applyFill="1"/>
    <xf numFmtId="165" fontId="3" fillId="0" borderId="0" xfId="0" applyNumberFormat="1" applyFont="1"/>
    <xf numFmtId="166" fontId="0" fillId="0" borderId="0" xfId="0" applyNumberFormat="1"/>
    <xf numFmtId="167" fontId="4" fillId="2" borderId="0" xfId="0" applyNumberFormat="1" applyFont="1" applyFill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164" fontId="5" fillId="5" borderId="0" xfId="0" applyNumberFormat="1" applyFont="1" applyFill="1"/>
    <xf numFmtId="164" fontId="5" fillId="5" borderId="0" xfId="0" applyNumberFormat="1" applyFont="1" applyFill="1" applyAlignment="1">
      <alignment horizontal="right"/>
    </xf>
    <xf numFmtId="166" fontId="5" fillId="5" borderId="0" xfId="0" applyNumberFormat="1" applyFont="1" applyFill="1"/>
    <xf numFmtId="166" fontId="5" fillId="5" borderId="0" xfId="0" applyNumberFormat="1" applyFont="1" applyFill="1" applyAlignment="1">
      <alignment horizontal="right"/>
    </xf>
    <xf numFmtId="166" fontId="5" fillId="5" borderId="0" xfId="0" applyNumberFormat="1" applyFont="1" applyFill="1" applyAlignment="1">
      <alignment horizontal="right" wrapText="1"/>
    </xf>
    <xf numFmtId="166" fontId="5" fillId="6" borderId="0" xfId="0" applyNumberFormat="1" applyFont="1" applyFill="1" applyAlignment="1">
      <alignment horizontal="center" vertical="center"/>
    </xf>
    <xf numFmtId="166" fontId="5" fillId="0" borderId="0" xfId="0" applyNumberFormat="1" applyFont="1"/>
    <xf numFmtId="168" fontId="3" fillId="0" borderId="0" xfId="0" applyNumberFormat="1" applyFont="1"/>
    <xf numFmtId="166" fontId="5" fillId="0" borderId="0" xfId="0" applyNumberFormat="1" applyFont="1" applyAlignment="1">
      <alignment horizontal="center" vertical="center"/>
    </xf>
    <xf numFmtId="0" fontId="3" fillId="0" borderId="0" xfId="0" applyFont="1"/>
    <xf numFmtId="166" fontId="5" fillId="6" borderId="0" xfId="0" applyNumberFormat="1" applyFont="1" applyFill="1"/>
    <xf numFmtId="166" fontId="5" fillId="6" borderId="0" xfId="0" applyNumberFormat="1" applyFont="1" applyFill="1" applyAlignment="1">
      <alignment horizontal="center"/>
    </xf>
    <xf numFmtId="0" fontId="5" fillId="5" borderId="0" xfId="0" applyFont="1" applyFill="1"/>
    <xf numFmtId="0" fontId="5" fillId="5" borderId="0" xfId="0" applyFont="1" applyFill="1" applyAlignment="1">
      <alignment horizontal="right"/>
    </xf>
    <xf numFmtId="0" fontId="9" fillId="7" borderId="0" xfId="0" applyFont="1" applyFill="1"/>
    <xf numFmtId="166" fontId="9" fillId="7" borderId="0" xfId="0" applyNumberFormat="1" applyFont="1" applyFill="1"/>
    <xf numFmtId="166" fontId="5" fillId="5" borderId="0" xfId="0" applyNumberFormat="1" applyFont="1" applyFill="1" applyAlignment="1">
      <alignment vertical="center"/>
    </xf>
    <xf numFmtId="166" fontId="7" fillId="8" borderId="0" xfId="0" applyNumberFormat="1" applyFont="1" applyFill="1"/>
    <xf numFmtId="166" fontId="7" fillId="8" borderId="0" xfId="0" applyNumberFormat="1" applyFont="1" applyFill="1" applyAlignment="1">
      <alignment horizontal="right"/>
    </xf>
    <xf numFmtId="0" fontId="10" fillId="0" borderId="0" xfId="0" applyFont="1"/>
    <xf numFmtId="0" fontId="7" fillId="9" borderId="0" xfId="0" applyFont="1" applyFill="1" applyAlignment="1">
      <alignment horizontal="center" vertical="center"/>
    </xf>
    <xf numFmtId="2" fontId="7" fillId="9" borderId="0" xfId="0" applyNumberFormat="1" applyFont="1" applyFill="1" applyAlignment="1">
      <alignment horizontal="center" vertical="center" wrapText="1"/>
    </xf>
    <xf numFmtId="2" fontId="11" fillId="10" borderId="0" xfId="0" applyNumberFormat="1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9" fillId="11" borderId="0" xfId="0" applyFont="1" applyFill="1"/>
    <xf numFmtId="2" fontId="7" fillId="10" borderId="0" xfId="0" applyNumberFormat="1" applyFont="1" applyFill="1" applyAlignment="1">
      <alignment horizontal="center" vertical="center" wrapText="1"/>
    </xf>
    <xf numFmtId="43" fontId="7" fillId="9" borderId="0" xfId="1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9" borderId="0" xfId="0" applyFont="1" applyFill="1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6" fillId="0" borderId="0" xfId="0" applyNumberFormat="1" applyFont="1"/>
    <xf numFmtId="2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9" fontId="5" fillId="0" borderId="0" xfId="0" applyNumberFormat="1" applyFont="1"/>
    <xf numFmtId="0" fontId="11" fillId="6" borderId="0" xfId="0" applyFont="1" applyFill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/>
    <xf numFmtId="0" fontId="11" fillId="0" borderId="0" xfId="0" applyFont="1"/>
    <xf numFmtId="0" fontId="11" fillId="0" borderId="0" xfId="0" applyFont="1" applyAlignment="1">
      <alignment horizontal="left" vertical="center"/>
    </xf>
    <xf numFmtId="165" fontId="5" fillId="0" borderId="0" xfId="0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3029-4859-4146-8987-E7082DC12CB3}">
  <dimension ref="A1:AF61"/>
  <sheetViews>
    <sheetView zoomScale="82" zoomScaleNormal="82" workbookViewId="0">
      <selection sqref="A1:XFD1048576"/>
    </sheetView>
  </sheetViews>
  <sheetFormatPr defaultRowHeight="15" x14ac:dyDescent="0.2"/>
  <cols>
    <col min="1" max="1" width="25.9609375" customWidth="1"/>
    <col min="2" max="2" width="12.9140625" customWidth="1"/>
    <col min="3" max="3" width="9.81640625" customWidth="1"/>
    <col min="4" max="4" width="10.22265625" customWidth="1"/>
    <col min="5" max="5" width="12.5078125" customWidth="1"/>
    <col min="6" max="6" width="2.41796875" customWidth="1"/>
    <col min="7" max="7" width="9.14453125" customWidth="1"/>
    <col min="8" max="8" width="10.625" style="4" customWidth="1"/>
    <col min="9" max="9" width="10.76171875" customWidth="1"/>
    <col min="10" max="10" width="12.77734375" customWidth="1"/>
    <col min="11" max="11" width="2.28515625" customWidth="1"/>
    <col min="12" max="12" width="9.68359375" customWidth="1"/>
    <col min="13" max="14" width="10.22265625" customWidth="1"/>
    <col min="15" max="15" width="8.203125" customWidth="1"/>
    <col min="16" max="16" width="2.15234375" customWidth="1"/>
    <col min="17" max="17" width="9.68359375" customWidth="1"/>
    <col min="18" max="18" width="10.22265625" customWidth="1"/>
    <col min="19" max="19" width="12.5078125" customWidth="1"/>
    <col min="20" max="20" width="8.0703125" customWidth="1"/>
    <col min="21" max="21" width="2.28515625" customWidth="1"/>
    <col min="22" max="22" width="9.4140625" style="7" customWidth="1"/>
    <col min="23" max="23" width="11.1640625" style="7" customWidth="1"/>
    <col min="24" max="24" width="11.296875" style="7" customWidth="1"/>
    <col min="25" max="25" width="2.82421875" customWidth="1"/>
    <col min="26" max="26" width="9.14453125" style="8" customWidth="1"/>
    <col min="27" max="27" width="10.89453125" style="9" customWidth="1"/>
    <col min="28" max="28" width="9.4140625" customWidth="1"/>
    <col min="29" max="29" width="2.41796875" customWidth="1"/>
    <col min="30" max="30" width="9.4140625" style="7" customWidth="1"/>
    <col min="31" max="31" width="11.1640625" style="7" customWidth="1"/>
    <col min="32" max="32" width="11.296875" style="7" customWidth="1"/>
  </cols>
  <sheetData>
    <row r="1" spans="1:32" ht="18" x14ac:dyDescent="0.2">
      <c r="A1" s="1" t="s">
        <v>34</v>
      </c>
      <c r="C1" s="2"/>
      <c r="D1" s="2"/>
      <c r="E1" s="3" t="s">
        <v>0</v>
      </c>
      <c r="L1" s="5"/>
      <c r="M1" s="6"/>
      <c r="N1" s="6"/>
      <c r="Q1" s="5"/>
      <c r="R1" s="6"/>
      <c r="S1" s="6"/>
    </row>
    <row r="2" spans="1:32" x14ac:dyDescent="0.2">
      <c r="A2" s="3"/>
      <c r="B2" s="10"/>
      <c r="C2" s="2"/>
      <c r="D2" s="2"/>
      <c r="L2" s="5"/>
      <c r="M2" s="6"/>
      <c r="N2" s="6"/>
      <c r="Q2" s="5"/>
      <c r="R2" s="6"/>
      <c r="S2" s="6"/>
    </row>
    <row r="3" spans="1:32" x14ac:dyDescent="0.2">
      <c r="A3" s="3"/>
      <c r="B3" s="11"/>
      <c r="C3" s="2"/>
      <c r="D3" s="2"/>
      <c r="L3" s="5"/>
      <c r="M3" s="6"/>
      <c r="N3" s="6"/>
      <c r="Q3" s="5"/>
      <c r="R3" s="6"/>
      <c r="S3" s="6"/>
    </row>
    <row r="4" spans="1:32" x14ac:dyDescent="0.2">
      <c r="A4" s="3" t="s">
        <v>1</v>
      </c>
      <c r="B4" s="12">
        <f>B14+G14+L14+V14+Z14</f>
        <v>499.5</v>
      </c>
      <c r="C4" s="2"/>
      <c r="D4" s="2"/>
      <c r="L4" s="5"/>
      <c r="M4" s="6"/>
      <c r="N4" s="6"/>
      <c r="Q4" s="5"/>
      <c r="R4" s="6"/>
      <c r="S4" s="6"/>
    </row>
    <row r="5" spans="1:32" x14ac:dyDescent="0.2">
      <c r="A5" s="71" t="s">
        <v>14</v>
      </c>
      <c r="B5" s="13">
        <f>B15+G15+H4615+L15+Q15+V15+AD15</f>
        <v>2008</v>
      </c>
      <c r="C5" s="2"/>
      <c r="D5" s="2"/>
      <c r="L5" s="5"/>
      <c r="M5" s="6"/>
      <c r="N5" s="6"/>
      <c r="Q5" s="5"/>
      <c r="R5" s="6"/>
      <c r="S5" s="6"/>
    </row>
    <row r="6" spans="1:32" x14ac:dyDescent="0.2">
      <c r="A6" s="3" t="s">
        <v>2</v>
      </c>
      <c r="B6" s="14">
        <f>B16+G16+L16+Q16+Z16</f>
        <v>8989</v>
      </c>
      <c r="C6" s="2"/>
      <c r="D6" s="2"/>
      <c r="L6" s="5"/>
      <c r="M6" s="6"/>
      <c r="N6" s="6"/>
      <c r="Q6" s="5"/>
      <c r="R6" s="6"/>
      <c r="S6" s="6"/>
    </row>
    <row r="7" spans="1:32" x14ac:dyDescent="0.2">
      <c r="A7" s="3" t="s">
        <v>3</v>
      </c>
      <c r="B7" s="15">
        <f>B5+B6+C7</f>
        <v>16530</v>
      </c>
      <c r="C7" s="16">
        <f>SUM(C17+H9+H17+M17+R17+W17+AA17)</f>
        <v>5533</v>
      </c>
      <c r="D7" s="17"/>
      <c r="E7" s="18"/>
      <c r="L7" s="5"/>
      <c r="M7" s="6"/>
      <c r="N7" s="6"/>
      <c r="Q7" s="5"/>
      <c r="R7" s="6"/>
      <c r="S7" s="6"/>
    </row>
    <row r="8" spans="1:32" x14ac:dyDescent="0.2">
      <c r="A8" s="3" t="s">
        <v>4</v>
      </c>
      <c r="B8" s="15">
        <f>B22+G22+L22+V22</f>
        <v>6458.2</v>
      </c>
      <c r="C8" s="2"/>
      <c r="D8" s="2"/>
      <c r="L8" s="5"/>
      <c r="M8" s="6"/>
      <c r="N8" s="6"/>
      <c r="Q8" s="5"/>
      <c r="R8" s="6"/>
      <c r="S8" s="6"/>
    </row>
    <row r="9" spans="1:32" x14ac:dyDescent="0.2">
      <c r="A9" s="3"/>
      <c r="B9" s="19"/>
      <c r="L9" s="5"/>
      <c r="M9" s="6"/>
      <c r="N9" s="6"/>
      <c r="Q9" s="5"/>
      <c r="R9" s="6"/>
      <c r="S9" s="6"/>
    </row>
    <row r="10" spans="1:32" x14ac:dyDescent="0.2">
      <c r="A10" s="3" t="s">
        <v>5</v>
      </c>
      <c r="B10" s="15">
        <f>B8+B23+L26</f>
        <v>6658.2</v>
      </c>
      <c r="C10" s="2"/>
      <c r="D10" s="2"/>
      <c r="L10" s="5"/>
      <c r="M10" s="6"/>
      <c r="N10" s="6"/>
      <c r="Q10" s="5"/>
      <c r="R10" s="6"/>
      <c r="S10" s="6"/>
    </row>
    <row r="11" spans="1:32" x14ac:dyDescent="0.2">
      <c r="B11" s="20"/>
      <c r="C11" s="2"/>
      <c r="D11" s="2"/>
      <c r="G11" s="20"/>
      <c r="L11" s="5"/>
      <c r="M11" s="6"/>
      <c r="N11" s="6"/>
      <c r="Q11" s="5"/>
      <c r="R11" s="6"/>
      <c r="S11" s="6"/>
      <c r="V11" s="21"/>
      <c r="AD11" s="21"/>
    </row>
    <row r="12" spans="1:32" x14ac:dyDescent="0.2">
      <c r="B12" s="20" t="s">
        <v>6</v>
      </c>
      <c r="C12" s="2"/>
      <c r="D12" s="2"/>
      <c r="G12" s="20" t="s">
        <v>7</v>
      </c>
      <c r="H12" s="22"/>
      <c r="I12" s="5"/>
      <c r="J12" s="5"/>
      <c r="L12" s="20" t="s">
        <v>8</v>
      </c>
      <c r="M12" s="6"/>
      <c r="N12" s="6"/>
      <c r="Q12" s="20" t="s">
        <v>9</v>
      </c>
      <c r="R12" s="6"/>
      <c r="S12" s="6"/>
      <c r="V12" s="20" t="s">
        <v>10</v>
      </c>
      <c r="Z12" s="23" t="s">
        <v>11</v>
      </c>
      <c r="AA12" s="24"/>
      <c r="AB12" s="7"/>
      <c r="AD12" s="72" t="s">
        <v>35</v>
      </c>
    </row>
    <row r="13" spans="1:32" x14ac:dyDescent="0.2">
      <c r="B13" s="20"/>
      <c r="C13" s="2"/>
      <c r="D13" s="2"/>
      <c r="G13" s="20"/>
      <c r="H13" s="22"/>
      <c r="I13" s="5"/>
      <c r="J13" s="5"/>
      <c r="L13" s="20"/>
      <c r="M13" s="6"/>
      <c r="N13" s="6"/>
      <c r="Q13" s="20"/>
      <c r="R13" s="6"/>
      <c r="S13" s="6"/>
      <c r="V13" s="20"/>
      <c r="Z13" s="25" t="s">
        <v>12</v>
      </c>
      <c r="AA13" s="24"/>
      <c r="AB13" s="7"/>
      <c r="AD13" s="73" t="s">
        <v>36</v>
      </c>
      <c r="AE13" s="24"/>
    </row>
    <row r="14" spans="1:32" x14ac:dyDescent="0.2">
      <c r="A14" s="20" t="s">
        <v>13</v>
      </c>
      <c r="B14" s="26">
        <f>SUM(B31:B62)</f>
        <v>72</v>
      </c>
      <c r="C14" s="2"/>
      <c r="D14" s="2"/>
      <c r="G14" s="27">
        <f>SUM(G30:G60)</f>
        <v>166</v>
      </c>
      <c r="H14" s="22"/>
      <c r="I14" s="5"/>
      <c r="J14" s="5"/>
      <c r="L14" s="27">
        <f>SUM(L30:L62)</f>
        <v>48.5</v>
      </c>
      <c r="M14" s="6"/>
      <c r="N14" s="6"/>
      <c r="Q14" s="27">
        <f>SUM(Q30:Q62)</f>
        <v>0</v>
      </c>
      <c r="R14" s="6"/>
      <c r="S14" s="6"/>
      <c r="V14" s="27">
        <f>SUM(V28:V60)</f>
        <v>166.5</v>
      </c>
      <c r="W14" s="22"/>
      <c r="X14" s="5"/>
      <c r="Z14" s="27">
        <f>SUM(Z28:Z60)</f>
        <v>46.5</v>
      </c>
      <c r="AA14" s="22"/>
      <c r="AB14" s="5"/>
      <c r="AD14" s="27">
        <f>SUM(AD28:AD60)</f>
        <v>27</v>
      </c>
      <c r="AE14" s="22"/>
      <c r="AF14" s="5"/>
    </row>
    <row r="15" spans="1:32" x14ac:dyDescent="0.2">
      <c r="A15" s="3" t="s">
        <v>14</v>
      </c>
      <c r="B15" s="28">
        <f>SUM(C30:C59)</f>
        <v>0</v>
      </c>
      <c r="C15" s="2"/>
      <c r="D15" s="2"/>
      <c r="G15" s="29">
        <f>SUM(H30:H60)</f>
        <v>0</v>
      </c>
      <c r="H15" s="22"/>
      <c r="I15" s="5"/>
      <c r="J15" s="5"/>
      <c r="L15" s="29">
        <f>SUM(M30:M60)</f>
        <v>0</v>
      </c>
      <c r="M15" s="6"/>
      <c r="N15" s="6"/>
      <c r="Q15" s="29">
        <f>SUM(R30:R60)</f>
        <v>0</v>
      </c>
      <c r="R15" s="6"/>
      <c r="S15" s="6"/>
      <c r="V15" s="30">
        <f>SUM(W30:W60)</f>
        <v>1588</v>
      </c>
      <c r="W15" s="22"/>
      <c r="X15" s="5"/>
      <c r="Z15" s="29"/>
      <c r="AA15" s="22"/>
      <c r="AB15" s="5"/>
      <c r="AD15" s="30">
        <f>SUM(AE30:AE60)</f>
        <v>420</v>
      </c>
      <c r="AE15" s="22"/>
      <c r="AF15" s="5"/>
    </row>
    <row r="16" spans="1:32" x14ac:dyDescent="0.2">
      <c r="A16" s="20" t="s">
        <v>2</v>
      </c>
      <c r="B16" s="29">
        <f>SUM(D30:D60)</f>
        <v>2312</v>
      </c>
      <c r="C16" s="2"/>
      <c r="D16" s="2"/>
      <c r="G16" s="29">
        <f>SUM(I30:I60)</f>
        <v>3054</v>
      </c>
      <c r="H16" s="22"/>
      <c r="I16" s="5"/>
      <c r="J16" s="5"/>
      <c r="L16" s="29">
        <f>SUM(N30:N60)</f>
        <v>1060</v>
      </c>
      <c r="M16" s="6"/>
      <c r="N16" s="6"/>
      <c r="Q16" s="29">
        <f>SUM(S30:S60)</f>
        <v>1877</v>
      </c>
      <c r="R16" s="6"/>
      <c r="S16" s="6"/>
      <c r="V16" s="29"/>
      <c r="W16" s="22"/>
      <c r="X16" s="5"/>
      <c r="Z16" s="29">
        <f>SUM(AA30:AA61)</f>
        <v>686</v>
      </c>
      <c r="AA16" s="22"/>
      <c r="AB16" s="5"/>
      <c r="AD16" s="29"/>
      <c r="AE16" s="22"/>
      <c r="AF16" s="5"/>
    </row>
    <row r="17" spans="1:32" x14ac:dyDescent="0.2">
      <c r="A17" s="20" t="s">
        <v>15</v>
      </c>
      <c r="B17" s="29">
        <f>B15+B16+C17</f>
        <v>3771</v>
      </c>
      <c r="C17" s="31">
        <f>SUM(E30:E61)</f>
        <v>1459</v>
      </c>
      <c r="D17" s="32"/>
      <c r="E17" s="33"/>
      <c r="G17" s="29">
        <f>G15+G16+H17</f>
        <v>6682</v>
      </c>
      <c r="H17" s="31">
        <f>SUM(J30:J61)</f>
        <v>3628</v>
      </c>
      <c r="I17" s="34"/>
      <c r="J17" s="35"/>
      <c r="L17" s="29">
        <f>L15+L16+M17</f>
        <v>1236</v>
      </c>
      <c r="M17" s="36">
        <f>SUM(O30:O60)</f>
        <v>176</v>
      </c>
      <c r="N17" s="32"/>
      <c r="O17" s="35"/>
      <c r="Q17" s="29">
        <f>Q15+Q16+R17</f>
        <v>1877</v>
      </c>
      <c r="R17" s="36">
        <f>SUM(T30:T60)</f>
        <v>0</v>
      </c>
      <c r="S17" s="32"/>
      <c r="T17" s="35"/>
      <c r="U17" s="35"/>
      <c r="V17" s="29">
        <f>V15+V16+W17</f>
        <v>1858</v>
      </c>
      <c r="W17" s="36">
        <f>SUM(X30:X61)</f>
        <v>270</v>
      </c>
      <c r="X17" s="32"/>
      <c r="Z17" s="29">
        <f>Z15+Z16</f>
        <v>686</v>
      </c>
      <c r="AA17" s="37">
        <f>SUM(AB30:AB60)</f>
        <v>0</v>
      </c>
      <c r="AB17" s="32"/>
      <c r="AD17" s="29">
        <f>AD15+AD16+AE17</f>
        <v>420</v>
      </c>
      <c r="AE17" s="36">
        <f>SUM(AF30:AF61)</f>
        <v>0</v>
      </c>
      <c r="AF17" s="32"/>
    </row>
    <row r="18" spans="1:32" x14ac:dyDescent="0.2">
      <c r="A18" s="5" t="s">
        <v>16</v>
      </c>
      <c r="B18" s="28">
        <v>12</v>
      </c>
      <c r="C18" s="2"/>
      <c r="D18" s="2"/>
      <c r="G18" s="29">
        <v>11</v>
      </c>
      <c r="H18" s="22"/>
      <c r="I18" s="5"/>
      <c r="J18" s="5"/>
      <c r="L18" s="29">
        <v>12</v>
      </c>
      <c r="M18" s="6"/>
      <c r="N18" s="6"/>
      <c r="Q18" s="29"/>
      <c r="R18" s="6"/>
      <c r="S18" s="6"/>
      <c r="V18" s="29">
        <v>11</v>
      </c>
      <c r="W18" s="22"/>
      <c r="X18" s="5"/>
      <c r="Z18" s="29">
        <v>10</v>
      </c>
      <c r="AA18" s="22"/>
      <c r="AB18" s="5"/>
      <c r="AD18" s="29">
        <v>10</v>
      </c>
      <c r="AE18" s="22"/>
      <c r="AF18" s="5"/>
    </row>
    <row r="19" spans="1:32" x14ac:dyDescent="0.2">
      <c r="A19" s="5" t="s">
        <v>17</v>
      </c>
      <c r="B19" s="38">
        <v>10</v>
      </c>
      <c r="C19" s="6">
        <v>10</v>
      </c>
      <c r="D19" s="6"/>
      <c r="G19" s="39">
        <v>10</v>
      </c>
      <c r="H19" s="22">
        <v>10</v>
      </c>
      <c r="I19" s="5"/>
      <c r="J19" s="5"/>
      <c r="L19" s="39">
        <v>10</v>
      </c>
      <c r="M19" s="6">
        <v>10</v>
      </c>
      <c r="N19" s="6"/>
      <c r="O19" s="5"/>
      <c r="Q19" s="39"/>
      <c r="R19" s="6"/>
      <c r="S19" s="6"/>
      <c r="T19" s="5"/>
      <c r="U19" s="5"/>
      <c r="V19" s="39">
        <v>10</v>
      </c>
      <c r="W19" s="22">
        <v>10</v>
      </c>
      <c r="X19" s="5"/>
      <c r="Z19" s="39">
        <v>10</v>
      </c>
      <c r="AA19" s="22">
        <v>10</v>
      </c>
      <c r="AB19" s="5"/>
      <c r="AD19" s="39">
        <v>10</v>
      </c>
      <c r="AE19" s="22">
        <v>10</v>
      </c>
      <c r="AF19" s="5"/>
    </row>
    <row r="20" spans="1:32" x14ac:dyDescent="0.2">
      <c r="A20" s="5" t="s">
        <v>18</v>
      </c>
      <c r="B20" s="28">
        <f>B18*B14</f>
        <v>864</v>
      </c>
      <c r="D20" s="6"/>
      <c r="G20" s="29">
        <f>G18*G14</f>
        <v>1826</v>
      </c>
      <c r="H20" s="22"/>
      <c r="I20" s="5"/>
      <c r="J20" s="5"/>
      <c r="L20" s="29">
        <f>L18*L14</f>
        <v>582</v>
      </c>
      <c r="M20" s="6"/>
      <c r="N20" s="6"/>
      <c r="O20" s="5"/>
      <c r="Q20" s="29"/>
      <c r="R20" s="6"/>
      <c r="S20" s="6"/>
      <c r="T20" s="5"/>
      <c r="U20" s="5"/>
      <c r="V20" s="29">
        <f>V18*V14</f>
        <v>1831.5</v>
      </c>
      <c r="W20" s="22"/>
      <c r="X20" s="5"/>
      <c r="Z20" s="29">
        <f>Z18*Z14</f>
        <v>465</v>
      </c>
      <c r="AA20" s="22"/>
      <c r="AB20" s="5"/>
      <c r="AD20" s="29">
        <f>AD18*AD14</f>
        <v>270</v>
      </c>
      <c r="AE20" s="22"/>
      <c r="AF20" s="5"/>
    </row>
    <row r="21" spans="1:32" x14ac:dyDescent="0.2">
      <c r="A21" s="5" t="s">
        <v>19</v>
      </c>
      <c r="B21" s="29">
        <f>B17*(B19/100)+C21</f>
        <v>377.1</v>
      </c>
      <c r="C21" s="6"/>
      <c r="D21" s="6"/>
      <c r="E21" s="32" t="s">
        <v>20</v>
      </c>
      <c r="G21" s="29">
        <f>G17*(G19/100)</f>
        <v>668.2</v>
      </c>
      <c r="H21" s="34"/>
      <c r="I21" s="34"/>
      <c r="J21" s="32"/>
      <c r="L21" s="29">
        <f>L17*(L19/100)</f>
        <v>123.60000000000001</v>
      </c>
      <c r="M21" s="34"/>
      <c r="N21" s="6"/>
      <c r="O21" s="32"/>
      <c r="Q21" s="29"/>
      <c r="R21" s="34">
        <f>R17*(R19/100)</f>
        <v>0</v>
      </c>
      <c r="S21" s="6"/>
      <c r="T21" s="32"/>
      <c r="U21" s="32"/>
      <c r="V21" s="29">
        <f>V17*(V19/100)+W21</f>
        <v>185.8</v>
      </c>
      <c r="W21" s="34"/>
      <c r="X21" s="32"/>
      <c r="Z21" s="29">
        <f>Z17*(Z19/100)+AA21</f>
        <v>68.600000000000009</v>
      </c>
      <c r="AA21" s="34"/>
      <c r="AB21" s="32"/>
      <c r="AD21" s="29">
        <f>AD17*(AD19/100)+AE21</f>
        <v>42</v>
      </c>
      <c r="AE21" s="34"/>
      <c r="AF21" s="32"/>
    </row>
    <row r="22" spans="1:32" x14ac:dyDescent="0.2">
      <c r="A22" s="5" t="s">
        <v>21</v>
      </c>
      <c r="B22" s="28">
        <f>B20+B21</f>
        <v>1241.0999999999999</v>
      </c>
      <c r="C22" s="6"/>
      <c r="D22" s="6"/>
      <c r="G22" s="29">
        <f>G20+G21</f>
        <v>2494.1999999999998</v>
      </c>
      <c r="H22" s="22"/>
      <c r="I22" s="5"/>
      <c r="J22" s="5"/>
      <c r="L22" s="29">
        <f>L20+L21</f>
        <v>705.6</v>
      </c>
      <c r="M22" s="6"/>
      <c r="N22" s="6"/>
      <c r="O22" s="5"/>
      <c r="Q22" s="29"/>
      <c r="R22" s="6"/>
      <c r="S22" s="6"/>
      <c r="T22" s="5"/>
      <c r="U22" s="5"/>
      <c r="V22" s="29">
        <f>V20+V21</f>
        <v>2017.3</v>
      </c>
      <c r="W22" s="22"/>
      <c r="Z22" s="29">
        <f>Z20+Z21</f>
        <v>533.6</v>
      </c>
      <c r="AA22" s="22"/>
      <c r="AB22" s="5"/>
      <c r="AD22" s="29">
        <f>AD20+AD21</f>
        <v>312</v>
      </c>
      <c r="AE22" s="22"/>
    </row>
    <row r="23" spans="1:32" x14ac:dyDescent="0.2">
      <c r="A23" s="40" t="s">
        <v>22</v>
      </c>
      <c r="B23" s="41"/>
      <c r="C23" s="6"/>
      <c r="D23" s="6"/>
      <c r="G23" s="28"/>
      <c r="H23" s="22"/>
      <c r="I23" s="5"/>
      <c r="J23" s="5"/>
      <c r="L23" s="28"/>
      <c r="M23" s="6"/>
      <c r="N23" s="6"/>
      <c r="O23" s="5"/>
      <c r="Q23" s="28"/>
      <c r="R23" s="6"/>
      <c r="S23" s="6"/>
      <c r="T23" s="5"/>
      <c r="U23" s="5"/>
      <c r="V23" s="28"/>
      <c r="W23" s="22"/>
      <c r="X23" s="5"/>
      <c r="Z23" s="29"/>
      <c r="AA23" s="22"/>
      <c r="AB23" s="5"/>
      <c r="AD23" s="28"/>
      <c r="AE23" s="22"/>
      <c r="AF23" s="5"/>
    </row>
    <row r="24" spans="1:32" x14ac:dyDescent="0.2">
      <c r="A24" s="40" t="s">
        <v>23</v>
      </c>
      <c r="B24" s="41"/>
      <c r="C24" s="6"/>
      <c r="D24" s="6"/>
      <c r="G24" s="28"/>
      <c r="H24" s="22"/>
      <c r="I24" s="5"/>
      <c r="J24" s="5"/>
      <c r="L24" s="28"/>
      <c r="M24" s="6"/>
      <c r="N24" s="6"/>
      <c r="O24" s="5"/>
      <c r="Q24" s="28"/>
      <c r="R24" s="6"/>
      <c r="S24" s="5"/>
      <c r="T24" s="5"/>
      <c r="U24" s="5"/>
      <c r="V24" s="28"/>
      <c r="W24" s="22"/>
      <c r="X24" s="5"/>
      <c r="Z24" s="29"/>
      <c r="AA24" s="22"/>
      <c r="AB24" s="5"/>
      <c r="AD24" s="28"/>
      <c r="AE24" s="22"/>
      <c r="AF24" s="5"/>
    </row>
    <row r="25" spans="1:32" x14ac:dyDescent="0.2">
      <c r="A25" s="40" t="s">
        <v>24</v>
      </c>
      <c r="B25" s="41"/>
      <c r="C25" s="6"/>
      <c r="D25" s="6"/>
      <c r="G25" s="28"/>
      <c r="H25" s="22"/>
      <c r="I25" s="5"/>
      <c r="J25" s="5"/>
      <c r="L25" s="28"/>
      <c r="M25" s="6"/>
      <c r="N25" s="6"/>
      <c r="O25" s="5"/>
      <c r="Q25" s="28"/>
      <c r="R25" s="6"/>
      <c r="S25" s="6"/>
      <c r="T25" s="5"/>
      <c r="U25" s="5"/>
      <c r="V25" s="28"/>
      <c r="W25" s="22"/>
      <c r="X25" s="5"/>
      <c r="Z25" s="29"/>
      <c r="AA25" s="22"/>
      <c r="AB25" s="5"/>
      <c r="AD25" s="28"/>
      <c r="AE25" s="22"/>
      <c r="AF25" s="5"/>
    </row>
    <row r="26" spans="1:32" x14ac:dyDescent="0.2">
      <c r="A26" s="5" t="s">
        <v>25</v>
      </c>
      <c r="B26" s="28"/>
      <c r="C26" s="6"/>
      <c r="D26" s="6"/>
      <c r="G26" s="28"/>
      <c r="H26" s="22"/>
      <c r="I26" s="5"/>
      <c r="J26" s="5"/>
      <c r="L26" s="42">
        <v>200</v>
      </c>
      <c r="M26" s="6"/>
      <c r="N26" s="6"/>
      <c r="O26" s="5"/>
      <c r="Q26" s="42"/>
      <c r="R26" s="6"/>
      <c r="S26" s="6"/>
      <c r="T26" s="5"/>
      <c r="U26" s="5"/>
      <c r="V26" s="28"/>
      <c r="W26" s="22"/>
      <c r="X26" s="5"/>
      <c r="Z26" s="29"/>
      <c r="AA26" s="22"/>
      <c r="AB26" s="5"/>
      <c r="AD26" s="28"/>
      <c r="AE26" s="22"/>
      <c r="AF26" s="5"/>
    </row>
    <row r="27" spans="1:32" x14ac:dyDescent="0.2">
      <c r="A27" s="5" t="s">
        <v>26</v>
      </c>
      <c r="B27" s="43">
        <f>B22-B24+B26</f>
        <v>1241.0999999999999</v>
      </c>
      <c r="C27" s="6"/>
      <c r="D27" s="6"/>
      <c r="G27" s="44">
        <f>G22-G25+G26</f>
        <v>2494.1999999999998</v>
      </c>
      <c r="H27" s="22"/>
      <c r="I27" s="5"/>
      <c r="J27" s="5"/>
      <c r="L27" s="44">
        <f>L22+L26</f>
        <v>905.6</v>
      </c>
      <c r="O27" s="5"/>
      <c r="Q27" s="44"/>
      <c r="T27" s="5"/>
      <c r="U27" s="5"/>
      <c r="V27" s="44">
        <f>V22-V25+V26</f>
        <v>2017.3</v>
      </c>
      <c r="W27" s="22"/>
      <c r="X27" s="5"/>
      <c r="Z27" s="44">
        <f>Z22-Z25+Z26</f>
        <v>533.6</v>
      </c>
      <c r="AA27" s="22"/>
      <c r="AB27" s="5"/>
      <c r="AD27" s="44">
        <f>AD22-AD25+AD26</f>
        <v>312</v>
      </c>
      <c r="AE27" s="22"/>
      <c r="AF27" s="5"/>
    </row>
    <row r="28" spans="1:32" x14ac:dyDescent="0.2">
      <c r="A28" s="5"/>
      <c r="B28" s="5"/>
      <c r="C28" s="6"/>
      <c r="D28" s="6"/>
      <c r="G28" s="5"/>
      <c r="H28" s="22"/>
      <c r="I28" s="5"/>
      <c r="J28" s="5"/>
      <c r="L28" s="5"/>
      <c r="M28" s="6"/>
      <c r="N28" s="6"/>
      <c r="O28" s="5"/>
      <c r="Q28" s="5"/>
      <c r="R28" s="6"/>
      <c r="S28" s="6"/>
      <c r="T28" s="5"/>
      <c r="U28" s="5"/>
      <c r="V28" s="45"/>
      <c r="W28" s="45"/>
      <c r="AD28" s="45"/>
      <c r="AE28" s="45"/>
    </row>
    <row r="29" spans="1:32" ht="36" customHeight="1" x14ac:dyDescent="0.2">
      <c r="A29" s="5" t="s">
        <v>27</v>
      </c>
      <c r="B29" s="46" t="s">
        <v>28</v>
      </c>
      <c r="C29" s="47" t="s">
        <v>32</v>
      </c>
      <c r="D29" s="48" t="s">
        <v>29</v>
      </c>
      <c r="E29" s="69" t="s">
        <v>30</v>
      </c>
      <c r="F29" s="50" t="s">
        <v>31</v>
      </c>
      <c r="G29" s="46" t="s">
        <v>28</v>
      </c>
      <c r="H29" s="47" t="s">
        <v>32</v>
      </c>
      <c r="I29" s="51" t="s">
        <v>29</v>
      </c>
      <c r="J29" s="49" t="s">
        <v>30</v>
      </c>
      <c r="L29" s="46" t="s">
        <v>28</v>
      </c>
      <c r="M29" s="52" t="s">
        <v>32</v>
      </c>
      <c r="N29" s="51" t="s">
        <v>29</v>
      </c>
      <c r="O29" s="49" t="s">
        <v>33</v>
      </c>
      <c r="Q29" s="46" t="s">
        <v>28</v>
      </c>
      <c r="R29" s="52" t="s">
        <v>32</v>
      </c>
      <c r="S29" s="51" t="s">
        <v>29</v>
      </c>
      <c r="T29" s="49" t="s">
        <v>33</v>
      </c>
      <c r="U29" s="53"/>
      <c r="V29" s="46" t="s">
        <v>28</v>
      </c>
      <c r="W29" s="52" t="s">
        <v>32</v>
      </c>
      <c r="X29" s="49" t="s">
        <v>30</v>
      </c>
      <c r="Z29" s="54" t="s">
        <v>28</v>
      </c>
      <c r="AA29" s="51" t="s">
        <v>29</v>
      </c>
      <c r="AB29" s="49" t="s">
        <v>33</v>
      </c>
      <c r="AD29" s="46" t="s">
        <v>28</v>
      </c>
      <c r="AE29" s="52" t="s">
        <v>32</v>
      </c>
      <c r="AF29" s="49" t="s">
        <v>30</v>
      </c>
    </row>
    <row r="30" spans="1:32" x14ac:dyDescent="0.2">
      <c r="A30" s="68">
        <v>46023</v>
      </c>
      <c r="B30" s="55"/>
      <c r="C30" s="56"/>
      <c r="D30" s="57"/>
      <c r="E30" s="58"/>
      <c r="F30" s="58"/>
      <c r="G30" s="55">
        <v>6.5</v>
      </c>
      <c r="H30" s="59"/>
      <c r="I30" s="57">
        <v>0</v>
      </c>
      <c r="J30" s="60"/>
      <c r="K30" s="60"/>
      <c r="L30" s="61">
        <v>5.5</v>
      </c>
      <c r="M30" s="58"/>
      <c r="N30" s="58">
        <v>810</v>
      </c>
      <c r="O30" s="58"/>
      <c r="P30" s="60"/>
      <c r="Q30" s="61"/>
      <c r="R30" s="58"/>
      <c r="S30" s="58"/>
      <c r="T30" s="58"/>
      <c r="U30" s="58"/>
      <c r="V30" s="62"/>
      <c r="X30" s="63"/>
      <c r="Z30" s="55"/>
      <c r="AD30" s="62"/>
      <c r="AF30" s="63"/>
    </row>
    <row r="31" spans="1:32" x14ac:dyDescent="0.2">
      <c r="A31" s="68">
        <v>46024</v>
      </c>
      <c r="B31" s="55"/>
      <c r="C31" s="56"/>
      <c r="D31" s="56"/>
      <c r="E31" s="58"/>
      <c r="F31" s="58"/>
      <c r="G31" s="55">
        <v>12</v>
      </c>
      <c r="H31" s="59"/>
      <c r="I31" s="57">
        <v>474</v>
      </c>
      <c r="J31" s="58">
        <v>700</v>
      </c>
      <c r="K31" s="60"/>
      <c r="L31" s="61"/>
      <c r="M31" s="58"/>
      <c r="O31" s="58"/>
      <c r="P31" s="60"/>
      <c r="Q31" s="61"/>
      <c r="R31" s="58"/>
      <c r="S31" s="58"/>
      <c r="T31" s="58"/>
      <c r="U31" s="58"/>
      <c r="V31" s="64"/>
      <c r="W31" s="57"/>
      <c r="X31" s="63"/>
      <c r="Z31" s="55"/>
      <c r="AA31" s="57"/>
      <c r="AD31" s="64"/>
      <c r="AE31" s="57"/>
      <c r="AF31" s="63"/>
    </row>
    <row r="32" spans="1:32" x14ac:dyDescent="0.2">
      <c r="A32" s="68">
        <v>46025</v>
      </c>
      <c r="B32" s="55">
        <v>12</v>
      </c>
      <c r="C32" s="56"/>
      <c r="D32" s="57">
        <v>616</v>
      </c>
      <c r="E32" s="58">
        <v>315</v>
      </c>
      <c r="F32" s="60"/>
      <c r="G32" s="55"/>
      <c r="H32" s="56"/>
      <c r="I32" s="57"/>
      <c r="J32" s="60"/>
      <c r="K32" s="60"/>
      <c r="L32" s="61"/>
      <c r="M32" s="58"/>
      <c r="N32" s="56"/>
      <c r="O32" s="58"/>
      <c r="P32" s="60"/>
      <c r="Q32" s="61"/>
      <c r="R32" s="58"/>
      <c r="S32" s="58"/>
      <c r="T32" s="58"/>
      <c r="U32" s="58"/>
      <c r="V32" s="62"/>
      <c r="W32" s="63"/>
      <c r="X32" s="63"/>
      <c r="Z32" s="55"/>
      <c r="AA32" s="57"/>
      <c r="AD32" s="62"/>
      <c r="AE32" s="63"/>
      <c r="AF32" s="63"/>
    </row>
    <row r="33" spans="1:32" x14ac:dyDescent="0.2">
      <c r="A33" s="68">
        <v>46026</v>
      </c>
      <c r="B33" s="55"/>
      <c r="C33" s="56"/>
      <c r="D33" s="57"/>
      <c r="E33" s="58"/>
      <c r="F33" s="60"/>
      <c r="G33" s="55"/>
      <c r="H33" s="59"/>
      <c r="I33" s="57"/>
      <c r="J33" s="60"/>
      <c r="K33" s="60"/>
      <c r="L33" s="61">
        <v>6.5</v>
      </c>
      <c r="M33" s="58"/>
      <c r="N33" s="58">
        <v>0</v>
      </c>
      <c r="O33" s="58"/>
      <c r="P33" s="60"/>
      <c r="Q33" s="61"/>
      <c r="R33" s="58"/>
      <c r="S33" s="58">
        <v>480</v>
      </c>
      <c r="T33" s="58"/>
      <c r="U33" s="58"/>
      <c r="V33" s="64"/>
      <c r="W33" s="63"/>
      <c r="X33" s="63"/>
      <c r="Z33" s="55"/>
      <c r="AA33" s="57"/>
      <c r="AD33" s="64"/>
      <c r="AE33" s="63"/>
      <c r="AF33" s="63"/>
    </row>
    <row r="34" spans="1:32" x14ac:dyDescent="0.2">
      <c r="A34" s="68">
        <v>46027</v>
      </c>
      <c r="B34" s="55"/>
      <c r="C34" s="56"/>
      <c r="D34" s="57"/>
      <c r="E34" s="58"/>
      <c r="F34" s="60"/>
      <c r="G34" s="55">
        <v>8</v>
      </c>
      <c r="H34" s="59"/>
      <c r="I34" s="57"/>
      <c r="J34" s="58">
        <v>180</v>
      </c>
      <c r="K34" s="60"/>
      <c r="L34" s="61"/>
      <c r="M34" s="58"/>
      <c r="N34" s="58"/>
      <c r="Q34" s="61"/>
      <c r="R34" s="58"/>
      <c r="V34" s="62"/>
      <c r="W34" s="63"/>
      <c r="Z34" s="55">
        <v>4.5</v>
      </c>
      <c r="AA34" s="57">
        <v>0</v>
      </c>
      <c r="AD34" s="62"/>
      <c r="AE34" s="63"/>
    </row>
    <row r="35" spans="1:32" x14ac:dyDescent="0.2">
      <c r="A35" s="68">
        <v>46028</v>
      </c>
      <c r="B35" s="55">
        <v>12</v>
      </c>
      <c r="C35" s="56"/>
      <c r="D35" s="57">
        <v>240</v>
      </c>
      <c r="E35" s="58">
        <v>300</v>
      </c>
      <c r="F35" s="60"/>
      <c r="G35" s="55"/>
      <c r="H35" s="59"/>
      <c r="I35" s="57"/>
      <c r="J35" s="60"/>
      <c r="K35" s="60"/>
      <c r="L35" s="61"/>
      <c r="M35" s="58"/>
      <c r="N35" s="58"/>
      <c r="Q35" s="61"/>
      <c r="R35" s="58"/>
      <c r="S35" s="56"/>
      <c r="V35" s="62"/>
      <c r="W35" s="63"/>
      <c r="X35" s="63"/>
      <c r="Z35" s="55"/>
      <c r="AA35" s="57"/>
      <c r="AD35" s="62"/>
      <c r="AE35" s="63"/>
      <c r="AF35" s="63"/>
    </row>
    <row r="36" spans="1:32" x14ac:dyDescent="0.2">
      <c r="A36" s="68">
        <v>46029</v>
      </c>
      <c r="B36" s="55"/>
      <c r="C36" s="56"/>
      <c r="D36" s="57"/>
      <c r="E36" s="58"/>
      <c r="F36" s="60"/>
      <c r="G36" s="55">
        <v>8</v>
      </c>
      <c r="H36" s="59"/>
      <c r="I36" s="57">
        <v>391</v>
      </c>
      <c r="J36" s="60"/>
      <c r="K36" s="60"/>
      <c r="L36" s="61"/>
      <c r="M36" s="58"/>
      <c r="N36" s="58"/>
      <c r="Q36" s="61"/>
      <c r="R36" s="58"/>
      <c r="S36" s="58"/>
      <c r="V36" s="62"/>
      <c r="W36" s="58"/>
      <c r="Z36" s="55">
        <v>4.5</v>
      </c>
      <c r="AA36" s="57">
        <v>0</v>
      </c>
      <c r="AD36" s="62"/>
      <c r="AE36" s="58"/>
    </row>
    <row r="37" spans="1:32" x14ac:dyDescent="0.2">
      <c r="A37" s="68">
        <v>46030</v>
      </c>
      <c r="B37" s="55"/>
      <c r="C37" s="56"/>
      <c r="D37" s="57"/>
      <c r="E37" s="58"/>
      <c r="F37" s="60"/>
      <c r="G37" s="55">
        <v>6.5</v>
      </c>
      <c r="H37" s="59"/>
      <c r="I37" s="57">
        <v>0</v>
      </c>
      <c r="J37" s="60"/>
      <c r="K37" s="60"/>
      <c r="L37" s="61">
        <v>5.5</v>
      </c>
      <c r="M37" s="58"/>
      <c r="N37" s="58">
        <v>0</v>
      </c>
      <c r="Q37" s="61"/>
      <c r="R37" s="58"/>
      <c r="V37" s="64"/>
      <c r="W37" s="58"/>
      <c r="Z37" s="55"/>
      <c r="AA37" s="57"/>
      <c r="AD37" s="64"/>
      <c r="AE37" s="58"/>
    </row>
    <row r="38" spans="1:32" x14ac:dyDescent="0.2">
      <c r="A38" s="68">
        <v>46031</v>
      </c>
      <c r="B38" s="55"/>
      <c r="C38" s="56"/>
      <c r="D38" s="57"/>
      <c r="E38" s="58"/>
      <c r="F38" s="60"/>
      <c r="G38" s="55">
        <v>12</v>
      </c>
      <c r="H38" s="59"/>
      <c r="I38" s="57">
        <v>0</v>
      </c>
      <c r="K38" s="60"/>
      <c r="L38" s="61"/>
      <c r="M38" s="58"/>
      <c r="N38" s="58"/>
      <c r="Q38" s="61"/>
      <c r="R38" s="58"/>
      <c r="S38" s="58"/>
      <c r="V38" s="64">
        <v>5.5</v>
      </c>
      <c r="W38" s="63">
        <v>0</v>
      </c>
      <c r="Z38" s="55"/>
      <c r="AA38" s="57"/>
      <c r="AD38" s="64"/>
      <c r="AE38" s="63"/>
    </row>
    <row r="39" spans="1:32" ht="15" customHeight="1" x14ac:dyDescent="0.2">
      <c r="A39" s="68">
        <v>46032</v>
      </c>
      <c r="B39" s="55">
        <v>12</v>
      </c>
      <c r="C39" s="56"/>
      <c r="D39" s="57"/>
      <c r="E39" s="58">
        <v>354</v>
      </c>
      <c r="F39" s="60"/>
      <c r="G39" s="55"/>
      <c r="H39" s="59"/>
      <c r="I39" s="57"/>
      <c r="J39" s="58"/>
      <c r="K39" s="60"/>
      <c r="L39" s="61"/>
      <c r="M39" s="58"/>
      <c r="N39" s="58"/>
      <c r="Q39" s="61"/>
      <c r="R39" s="58"/>
      <c r="S39" s="58"/>
      <c r="V39" s="62"/>
      <c r="W39" s="58"/>
      <c r="Z39" s="55"/>
      <c r="AA39" s="57"/>
      <c r="AD39" s="62">
        <v>9</v>
      </c>
      <c r="AE39" s="58">
        <v>0</v>
      </c>
    </row>
    <row r="40" spans="1:32" x14ac:dyDescent="0.2">
      <c r="A40" s="68">
        <v>46033</v>
      </c>
      <c r="B40" s="55"/>
      <c r="C40" s="56"/>
      <c r="D40" s="57"/>
      <c r="E40" s="58"/>
      <c r="F40" s="60"/>
      <c r="G40" s="55"/>
      <c r="H40" s="59"/>
      <c r="I40" s="57"/>
      <c r="J40" s="60"/>
      <c r="K40" s="60"/>
      <c r="L40" s="61">
        <v>6</v>
      </c>
      <c r="M40" s="58"/>
      <c r="N40" s="58">
        <v>0</v>
      </c>
      <c r="Q40" s="61"/>
      <c r="R40" s="58"/>
      <c r="S40" s="58">
        <v>15</v>
      </c>
      <c r="V40" s="62">
        <v>9</v>
      </c>
      <c r="W40" s="63">
        <v>484</v>
      </c>
      <c r="X40" s="58"/>
      <c r="Z40" s="70"/>
      <c r="AA40" s="57"/>
      <c r="AD40" s="62"/>
      <c r="AE40" s="63"/>
      <c r="AF40" s="58"/>
    </row>
    <row r="41" spans="1:32" x14ac:dyDescent="0.2">
      <c r="A41" s="68">
        <v>46034</v>
      </c>
      <c r="C41" s="56"/>
      <c r="D41" s="57"/>
      <c r="E41" s="58"/>
      <c r="F41" s="60"/>
      <c r="G41" s="55">
        <v>7.5</v>
      </c>
      <c r="H41" s="59"/>
      <c r="I41" s="57">
        <v>0</v>
      </c>
      <c r="J41" s="60"/>
      <c r="K41" s="60"/>
      <c r="L41" s="61"/>
      <c r="M41" s="58"/>
      <c r="N41" s="58"/>
      <c r="Q41" s="61"/>
      <c r="R41" s="58"/>
      <c r="S41" s="58"/>
      <c r="V41" s="62">
        <v>9</v>
      </c>
      <c r="W41" s="58">
        <v>0</v>
      </c>
      <c r="Z41" s="55"/>
      <c r="AA41" s="57"/>
      <c r="AD41" s="62"/>
      <c r="AE41" s="58"/>
    </row>
    <row r="42" spans="1:32" x14ac:dyDescent="0.2">
      <c r="A42" s="68">
        <v>46035</v>
      </c>
      <c r="B42" s="55">
        <v>12</v>
      </c>
      <c r="C42" s="56"/>
      <c r="D42" s="57">
        <v>343</v>
      </c>
      <c r="E42" s="58">
        <v>250</v>
      </c>
      <c r="F42" s="60"/>
      <c r="G42" s="55"/>
      <c r="H42" s="59"/>
      <c r="I42" s="57"/>
      <c r="J42" s="60"/>
      <c r="K42" s="60"/>
      <c r="L42" s="61"/>
      <c r="M42" s="58"/>
      <c r="N42" s="58"/>
      <c r="Q42" s="61"/>
      <c r="R42" s="58"/>
      <c r="S42" s="58"/>
      <c r="V42" s="64">
        <v>9</v>
      </c>
      <c r="W42" s="58">
        <v>0</v>
      </c>
      <c r="Z42" s="55"/>
      <c r="AA42" s="57"/>
      <c r="AD42" s="64"/>
      <c r="AE42" s="58"/>
    </row>
    <row r="43" spans="1:32" x14ac:dyDescent="0.2">
      <c r="A43" s="68">
        <v>46036</v>
      </c>
      <c r="B43" s="55"/>
      <c r="C43" s="56"/>
      <c r="D43" s="57"/>
      <c r="E43" s="58"/>
      <c r="F43" s="60"/>
      <c r="G43" s="55">
        <v>7.5</v>
      </c>
      <c r="H43" s="59"/>
      <c r="I43" s="57">
        <v>0</v>
      </c>
      <c r="J43" s="58"/>
      <c r="K43" s="60"/>
      <c r="L43" s="61"/>
      <c r="M43" s="58"/>
      <c r="N43" s="58"/>
      <c r="Q43" s="61"/>
      <c r="R43" s="58"/>
      <c r="S43" s="58"/>
      <c r="V43" s="64">
        <v>9</v>
      </c>
      <c r="W43" s="63">
        <v>0</v>
      </c>
      <c r="Z43" s="55">
        <v>4.5</v>
      </c>
      <c r="AA43" s="57">
        <v>0</v>
      </c>
      <c r="AD43" s="64"/>
      <c r="AE43" s="63"/>
    </row>
    <row r="44" spans="1:32" x14ac:dyDescent="0.2">
      <c r="A44" s="68">
        <v>46037</v>
      </c>
      <c r="B44" s="55"/>
      <c r="C44" s="56"/>
      <c r="D44" s="57"/>
      <c r="E44" s="58"/>
      <c r="F44" s="60"/>
      <c r="G44" s="55">
        <v>8.5</v>
      </c>
      <c r="H44" s="59"/>
      <c r="I44" s="57">
        <v>195</v>
      </c>
      <c r="J44" s="58">
        <v>600</v>
      </c>
      <c r="K44" s="60"/>
      <c r="L44" s="61"/>
      <c r="M44" s="58"/>
      <c r="O44" s="58"/>
      <c r="Q44" s="61"/>
      <c r="R44" s="58"/>
      <c r="S44" s="58"/>
      <c r="V44" s="64">
        <v>9</v>
      </c>
      <c r="W44" s="58"/>
      <c r="X44" s="63">
        <v>156</v>
      </c>
      <c r="Z44" s="55"/>
      <c r="AA44" s="57"/>
      <c r="AD44" s="64"/>
      <c r="AE44" s="58"/>
      <c r="AF44" s="63"/>
    </row>
    <row r="45" spans="1:32" x14ac:dyDescent="0.2">
      <c r="A45" s="68">
        <v>46038</v>
      </c>
      <c r="B45" s="55"/>
      <c r="C45" s="56"/>
      <c r="D45" s="57"/>
      <c r="E45" s="58"/>
      <c r="F45" s="60"/>
      <c r="G45" s="55">
        <v>8.5</v>
      </c>
      <c r="H45" s="59"/>
      <c r="I45" s="57">
        <v>0</v>
      </c>
      <c r="J45" s="60"/>
      <c r="K45" s="60"/>
      <c r="L45" s="61"/>
      <c r="M45" s="58"/>
      <c r="N45" s="57"/>
      <c r="O45" s="58"/>
      <c r="Q45" s="61"/>
      <c r="R45" s="58"/>
      <c r="S45" s="58"/>
      <c r="T45" s="58"/>
      <c r="V45" s="64">
        <v>9</v>
      </c>
      <c r="W45" s="63">
        <v>0</v>
      </c>
      <c r="Z45" s="55"/>
      <c r="AA45" s="57"/>
      <c r="AD45" s="64"/>
      <c r="AE45" s="63"/>
    </row>
    <row r="46" spans="1:32" x14ac:dyDescent="0.2">
      <c r="A46" s="68">
        <v>46039</v>
      </c>
      <c r="B46" s="55"/>
      <c r="C46" s="56"/>
      <c r="D46" s="57"/>
      <c r="E46" s="58"/>
      <c r="F46" s="60"/>
      <c r="G46" s="55">
        <v>12</v>
      </c>
      <c r="H46" s="59"/>
      <c r="I46" s="57">
        <v>143</v>
      </c>
      <c r="J46" s="58">
        <v>800</v>
      </c>
      <c r="K46" s="60"/>
      <c r="L46" s="61"/>
      <c r="M46" s="58"/>
      <c r="N46" s="58"/>
      <c r="Q46" s="61"/>
      <c r="R46" s="58"/>
      <c r="S46" s="58"/>
      <c r="V46" s="65"/>
      <c r="Z46" s="55"/>
      <c r="AA46" s="57"/>
      <c r="AD46" s="65"/>
    </row>
    <row r="47" spans="1:32" x14ac:dyDescent="0.2">
      <c r="A47" s="68">
        <v>46040</v>
      </c>
      <c r="B47" s="55"/>
      <c r="C47" s="56"/>
      <c r="D47" s="57"/>
      <c r="E47" s="58"/>
      <c r="F47" s="60"/>
      <c r="G47" s="55"/>
      <c r="H47" s="59"/>
      <c r="I47" s="57"/>
      <c r="J47" s="60"/>
      <c r="K47" s="60"/>
      <c r="L47" s="61">
        <v>6</v>
      </c>
      <c r="M47" s="58"/>
      <c r="N47" s="58">
        <v>0</v>
      </c>
      <c r="Q47" s="61"/>
      <c r="R47" s="58"/>
      <c r="S47" s="58">
        <v>400</v>
      </c>
      <c r="V47" s="64">
        <v>9</v>
      </c>
      <c r="W47" s="58">
        <v>504</v>
      </c>
      <c r="X47" s="63">
        <v>114</v>
      </c>
      <c r="Z47" s="55"/>
      <c r="AA47" s="57"/>
      <c r="AD47" s="64"/>
      <c r="AE47" s="58"/>
      <c r="AF47" s="63"/>
    </row>
    <row r="48" spans="1:32" x14ac:dyDescent="0.2">
      <c r="A48" s="68">
        <v>46041</v>
      </c>
      <c r="B48" s="55"/>
      <c r="C48" s="56"/>
      <c r="D48" s="57"/>
      <c r="E48" s="58"/>
      <c r="F48" s="60"/>
      <c r="G48" s="55">
        <v>5</v>
      </c>
      <c r="H48" s="59"/>
      <c r="I48" s="57">
        <v>0</v>
      </c>
      <c r="J48" s="58"/>
      <c r="K48" s="60"/>
      <c r="L48" s="61"/>
      <c r="M48" s="58"/>
      <c r="N48" s="58"/>
      <c r="Q48" s="61"/>
      <c r="R48" s="58"/>
      <c r="V48" s="64">
        <v>9</v>
      </c>
      <c r="W48" s="58">
        <v>0</v>
      </c>
      <c r="Z48" s="55">
        <v>7</v>
      </c>
      <c r="AA48" s="57">
        <v>0</v>
      </c>
      <c r="AD48" s="64"/>
      <c r="AE48" s="58"/>
    </row>
    <row r="49" spans="1:32" x14ac:dyDescent="0.2">
      <c r="A49" s="68">
        <v>46042</v>
      </c>
      <c r="B49" s="55"/>
      <c r="C49" s="56"/>
      <c r="D49" s="57"/>
      <c r="E49" s="58"/>
      <c r="F49" s="60"/>
      <c r="G49" s="55">
        <v>8</v>
      </c>
      <c r="H49" s="59"/>
      <c r="I49" s="57">
        <v>567</v>
      </c>
      <c r="J49" s="60"/>
      <c r="K49" s="60"/>
      <c r="L49" s="61"/>
      <c r="M49" s="58"/>
      <c r="N49" s="58"/>
      <c r="R49" s="57"/>
      <c r="S49" s="58"/>
      <c r="V49" s="66">
        <v>9</v>
      </c>
      <c r="W49" s="58">
        <v>0</v>
      </c>
      <c r="Z49" s="55"/>
      <c r="AA49" s="57"/>
      <c r="AD49" s="66"/>
      <c r="AE49" s="58"/>
    </row>
    <row r="50" spans="1:32" x14ac:dyDescent="0.2">
      <c r="A50" s="68">
        <v>46043</v>
      </c>
      <c r="B50" s="55"/>
      <c r="C50" s="56"/>
      <c r="D50" s="57"/>
      <c r="E50" s="58"/>
      <c r="F50" s="60"/>
      <c r="G50" s="55">
        <v>7.5</v>
      </c>
      <c r="H50" s="59"/>
      <c r="I50" s="57">
        <v>0</v>
      </c>
      <c r="J50" s="60"/>
      <c r="K50" s="60"/>
      <c r="L50" s="61"/>
      <c r="M50" s="58"/>
      <c r="N50" s="58"/>
      <c r="S50" s="58"/>
      <c r="V50" s="66">
        <v>9</v>
      </c>
      <c r="W50" s="58">
        <v>0</v>
      </c>
      <c r="Z50" s="55">
        <v>4.5</v>
      </c>
      <c r="AA50" s="57">
        <v>0</v>
      </c>
      <c r="AD50" s="66"/>
      <c r="AE50" s="58"/>
    </row>
    <row r="51" spans="1:32" x14ac:dyDescent="0.2">
      <c r="A51" s="68">
        <v>46044</v>
      </c>
      <c r="B51" s="55"/>
      <c r="C51" s="56"/>
      <c r="D51" s="57"/>
      <c r="E51" s="58"/>
      <c r="F51" s="60"/>
      <c r="G51" s="55">
        <v>6.5</v>
      </c>
      <c r="H51" s="59"/>
      <c r="I51" s="57"/>
      <c r="J51" s="58">
        <v>1000</v>
      </c>
      <c r="K51" s="60"/>
      <c r="L51" s="61">
        <v>6</v>
      </c>
      <c r="M51" s="58"/>
      <c r="N51" s="58">
        <v>0</v>
      </c>
      <c r="O51" s="58"/>
      <c r="S51" s="58"/>
      <c r="T51" s="58"/>
      <c r="U51" s="58"/>
      <c r="V51" s="66">
        <v>9</v>
      </c>
      <c r="W51" s="58">
        <v>0</v>
      </c>
      <c r="X51" s="58"/>
      <c r="Z51" s="55"/>
      <c r="AA51" s="57"/>
      <c r="AD51" s="66"/>
      <c r="AE51" s="58"/>
      <c r="AF51" s="58"/>
    </row>
    <row r="52" spans="1:32" x14ac:dyDescent="0.2">
      <c r="A52" s="68">
        <v>46045</v>
      </c>
      <c r="B52" s="55"/>
      <c r="C52" s="56"/>
      <c r="D52" s="57"/>
      <c r="E52" s="58"/>
      <c r="F52" s="60"/>
      <c r="G52" s="55">
        <v>9.5</v>
      </c>
      <c r="H52" s="59"/>
      <c r="I52" s="57">
        <v>707</v>
      </c>
      <c r="J52" s="58">
        <v>348</v>
      </c>
      <c r="K52" s="60"/>
      <c r="L52" s="61"/>
      <c r="M52" s="58"/>
      <c r="N52" s="57"/>
      <c r="R52" s="18"/>
      <c r="S52" s="58"/>
      <c r="V52" s="66">
        <v>9</v>
      </c>
      <c r="W52" s="58">
        <v>0</v>
      </c>
      <c r="Z52" s="55"/>
      <c r="AA52" s="57"/>
      <c r="AD52" s="66"/>
      <c r="AE52" s="58"/>
    </row>
    <row r="53" spans="1:32" x14ac:dyDescent="0.2">
      <c r="A53" s="68">
        <v>46046</v>
      </c>
      <c r="B53" s="55"/>
      <c r="C53" s="56"/>
      <c r="D53" s="57"/>
      <c r="E53" s="58"/>
      <c r="F53" s="60"/>
      <c r="G53" s="55"/>
      <c r="H53" s="59"/>
      <c r="I53" s="57"/>
      <c r="J53" s="60"/>
      <c r="K53" s="60"/>
      <c r="L53" s="61"/>
      <c r="M53" s="58"/>
      <c r="N53" s="58"/>
      <c r="O53" s="18"/>
      <c r="T53" s="18"/>
      <c r="U53" s="18"/>
      <c r="V53" s="66"/>
      <c r="W53" s="58"/>
      <c r="Z53" s="55">
        <v>12.5</v>
      </c>
      <c r="AA53" s="57">
        <v>686</v>
      </c>
      <c r="AD53" s="66">
        <v>9</v>
      </c>
      <c r="AE53" s="58">
        <v>180</v>
      </c>
    </row>
    <row r="54" spans="1:32" x14ac:dyDescent="0.2">
      <c r="A54" s="68">
        <v>46047</v>
      </c>
      <c r="B54" s="55"/>
      <c r="C54" s="56"/>
      <c r="D54" s="57"/>
      <c r="E54" s="58"/>
      <c r="F54" s="60"/>
      <c r="G54" s="55"/>
      <c r="H54" s="59"/>
      <c r="I54" s="57"/>
      <c r="J54" s="60"/>
      <c r="K54" s="60"/>
      <c r="L54" s="61">
        <v>6.5</v>
      </c>
      <c r="M54" s="58"/>
      <c r="N54" s="58">
        <v>250</v>
      </c>
      <c r="O54" s="58">
        <v>176</v>
      </c>
      <c r="S54" s="58">
        <v>982</v>
      </c>
      <c r="V54" s="66">
        <v>8</v>
      </c>
      <c r="W54" s="58">
        <v>0</v>
      </c>
      <c r="Z54" s="55"/>
      <c r="AA54" s="57"/>
      <c r="AD54" s="66"/>
      <c r="AE54" s="58"/>
    </row>
    <row r="55" spans="1:32" x14ac:dyDescent="0.2">
      <c r="A55" s="68">
        <v>46048</v>
      </c>
      <c r="B55" s="55"/>
      <c r="C55" s="56"/>
      <c r="D55" s="57"/>
      <c r="E55" s="58"/>
      <c r="F55" s="60"/>
      <c r="G55" s="55">
        <v>7.5</v>
      </c>
      <c r="H55" s="59"/>
      <c r="I55" s="57">
        <v>385</v>
      </c>
      <c r="J55" s="60"/>
      <c r="K55" s="60"/>
      <c r="L55" s="61"/>
      <c r="M55" s="58"/>
      <c r="S55" s="58"/>
      <c r="V55" s="66">
        <v>9</v>
      </c>
      <c r="W55" s="58">
        <v>420</v>
      </c>
      <c r="Z55" s="55">
        <v>4.5</v>
      </c>
      <c r="AA55" s="57">
        <v>0</v>
      </c>
      <c r="AB55" s="57"/>
      <c r="AD55" s="66"/>
      <c r="AE55" s="58"/>
    </row>
    <row r="56" spans="1:32" x14ac:dyDescent="0.2">
      <c r="A56" s="68">
        <v>46049</v>
      </c>
      <c r="B56" s="55">
        <v>12</v>
      </c>
      <c r="C56" s="56"/>
      <c r="D56" s="57">
        <v>223</v>
      </c>
      <c r="E56" s="58"/>
      <c r="F56" s="60"/>
      <c r="G56" s="55"/>
      <c r="H56" s="59"/>
      <c r="I56" s="57"/>
      <c r="J56" s="67"/>
      <c r="K56" s="60"/>
      <c r="L56" s="61"/>
      <c r="M56" s="58"/>
      <c r="N56" s="58"/>
      <c r="V56" s="66">
        <v>9</v>
      </c>
      <c r="W56" s="58">
        <v>0</v>
      </c>
      <c r="Z56" s="55"/>
      <c r="AA56" s="57"/>
      <c r="AD56" s="66"/>
      <c r="AE56" s="58"/>
    </row>
    <row r="57" spans="1:32" x14ac:dyDescent="0.2">
      <c r="A57" s="68">
        <v>46050</v>
      </c>
      <c r="B57" s="55"/>
      <c r="C57" s="56"/>
      <c r="D57" s="57"/>
      <c r="E57" s="58"/>
      <c r="F57" s="60"/>
      <c r="G57" s="55">
        <v>7.5</v>
      </c>
      <c r="H57" s="59"/>
      <c r="I57" s="57">
        <v>192</v>
      </c>
      <c r="J57" s="60"/>
      <c r="K57" s="60"/>
      <c r="L57" s="61"/>
      <c r="M57" s="58"/>
      <c r="N57" s="58"/>
      <c r="O57" s="58"/>
      <c r="V57" s="66">
        <v>9</v>
      </c>
      <c r="W57" s="58">
        <v>180</v>
      </c>
      <c r="Z57" s="55">
        <v>4.5</v>
      </c>
      <c r="AA57" s="57">
        <v>0</v>
      </c>
      <c r="AD57" s="66"/>
      <c r="AE57" s="58"/>
    </row>
    <row r="58" spans="1:32" x14ac:dyDescent="0.2">
      <c r="A58" s="68">
        <v>46051</v>
      </c>
      <c r="B58" s="55"/>
      <c r="C58" s="56"/>
      <c r="D58" s="57"/>
      <c r="E58" s="58">
        <v>240</v>
      </c>
      <c r="F58" s="60"/>
      <c r="G58" s="55">
        <v>5.5</v>
      </c>
      <c r="H58" s="59"/>
      <c r="I58" s="57">
        <v>0</v>
      </c>
      <c r="J58" s="60"/>
      <c r="K58" s="60"/>
      <c r="L58" s="66">
        <v>6.5</v>
      </c>
      <c r="M58" s="58"/>
      <c r="N58" s="58">
        <v>0</v>
      </c>
      <c r="S58" s="58"/>
      <c r="V58" s="66">
        <v>9</v>
      </c>
      <c r="W58" s="58">
        <v>0</v>
      </c>
      <c r="Z58" s="55"/>
      <c r="AA58" s="57"/>
      <c r="AD58" s="66"/>
      <c r="AE58" s="58"/>
    </row>
    <row r="59" spans="1:32" x14ac:dyDescent="0.2">
      <c r="A59" s="68">
        <v>46052</v>
      </c>
      <c r="B59" s="55">
        <v>12</v>
      </c>
      <c r="C59" s="56"/>
      <c r="D59" s="57">
        <v>440</v>
      </c>
      <c r="E59" s="58"/>
      <c r="F59" s="60"/>
      <c r="G59" s="55"/>
      <c r="H59" s="59"/>
      <c r="I59" s="57"/>
      <c r="J59" s="60"/>
      <c r="K59" s="60"/>
      <c r="L59" s="66"/>
      <c r="M59" s="58"/>
      <c r="N59" s="58"/>
      <c r="O59" s="58"/>
      <c r="V59" s="66">
        <v>9</v>
      </c>
      <c r="W59" s="58">
        <v>0</v>
      </c>
      <c r="Z59" s="55"/>
      <c r="AA59" s="57"/>
      <c r="AD59" s="66"/>
      <c r="AE59" s="58"/>
    </row>
    <row r="60" spans="1:32" x14ac:dyDescent="0.2">
      <c r="A60" s="68">
        <v>46053</v>
      </c>
      <c r="B60" s="61"/>
      <c r="C60" s="58"/>
      <c r="D60" s="58">
        <v>450</v>
      </c>
      <c r="E60" s="58"/>
      <c r="F60" s="60"/>
      <c r="G60" s="61">
        <v>12</v>
      </c>
      <c r="H60" s="59"/>
      <c r="I60" s="58">
        <v>0</v>
      </c>
      <c r="J60" s="60"/>
      <c r="K60" s="60"/>
      <c r="L60" s="66"/>
      <c r="M60" s="58"/>
      <c r="N60" s="58"/>
      <c r="Q60" s="66"/>
      <c r="R60" s="58"/>
      <c r="S60" s="58"/>
      <c r="V60" s="64"/>
      <c r="W60" s="58"/>
      <c r="Z60" s="55"/>
      <c r="AA60" s="57"/>
      <c r="AD60" s="64">
        <v>9</v>
      </c>
      <c r="AE60" s="58">
        <v>240</v>
      </c>
    </row>
    <row r="61" spans="1:32" x14ac:dyDescent="0.2">
      <c r="AA61" s="5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861-A86C-42F1-A977-BAB04767E5DD}">
  <dimension ref="A1:AF61"/>
  <sheetViews>
    <sheetView zoomScale="86" zoomScaleNormal="86" workbookViewId="0">
      <selection sqref="A1:XFD1048576"/>
    </sheetView>
  </sheetViews>
  <sheetFormatPr defaultRowHeight="15" x14ac:dyDescent="0.2"/>
  <cols>
    <col min="1" max="1" width="25.9609375" customWidth="1"/>
    <col min="2" max="2" width="12.9140625" customWidth="1"/>
    <col min="3" max="3" width="9.81640625" customWidth="1"/>
    <col min="4" max="4" width="10.22265625" customWidth="1"/>
    <col min="5" max="5" width="12.5078125" customWidth="1"/>
    <col min="6" max="6" width="2.41796875" customWidth="1"/>
    <col min="7" max="7" width="9.14453125" customWidth="1"/>
    <col min="8" max="8" width="10.625" style="4" customWidth="1"/>
    <col min="9" max="9" width="10.76171875" customWidth="1"/>
    <col min="10" max="10" width="12.77734375" customWidth="1"/>
    <col min="11" max="11" width="2.28515625" customWidth="1"/>
    <col min="12" max="12" width="9.68359375" customWidth="1"/>
    <col min="13" max="14" width="10.22265625" customWidth="1"/>
    <col min="15" max="15" width="8.203125" customWidth="1"/>
    <col min="16" max="16" width="2.15234375" customWidth="1"/>
    <col min="17" max="17" width="9.68359375" customWidth="1"/>
    <col min="18" max="18" width="10.22265625" customWidth="1"/>
    <col min="19" max="19" width="12.5078125" customWidth="1"/>
    <col min="20" max="20" width="8.0703125" customWidth="1"/>
    <col min="21" max="21" width="2.28515625" customWidth="1"/>
    <col min="22" max="22" width="9.4140625" style="7" customWidth="1"/>
    <col min="23" max="23" width="11.1640625" style="7" customWidth="1"/>
    <col min="24" max="24" width="11.296875" style="7" customWidth="1"/>
    <col min="25" max="25" width="2.82421875" customWidth="1"/>
    <col min="26" max="26" width="9.14453125" style="8" customWidth="1"/>
    <col min="27" max="27" width="10.89453125" style="9" customWidth="1"/>
    <col min="28" max="28" width="9.4140625" customWidth="1"/>
    <col min="29" max="29" width="2.41796875" customWidth="1"/>
    <col min="30" max="30" width="9.4140625" style="7" customWidth="1"/>
    <col min="31" max="31" width="11.1640625" style="7" customWidth="1"/>
    <col min="32" max="32" width="11.296875" style="7" customWidth="1"/>
  </cols>
  <sheetData>
    <row r="1" spans="1:32" ht="18" x14ac:dyDescent="0.2">
      <c r="A1" s="1" t="s">
        <v>37</v>
      </c>
      <c r="C1" s="2"/>
      <c r="D1" s="2"/>
      <c r="E1" s="3" t="s">
        <v>0</v>
      </c>
      <c r="L1" s="5"/>
      <c r="M1" s="6"/>
      <c r="N1" s="6"/>
      <c r="Q1" s="5"/>
      <c r="R1" s="6"/>
      <c r="S1" s="6"/>
    </row>
    <row r="2" spans="1:32" x14ac:dyDescent="0.2">
      <c r="A2" s="3"/>
      <c r="B2" s="10"/>
      <c r="C2" s="2"/>
      <c r="D2" s="2"/>
      <c r="L2" s="5"/>
      <c r="M2" s="6"/>
      <c r="N2" s="6"/>
      <c r="Q2" s="5"/>
      <c r="R2" s="6"/>
      <c r="S2" s="6"/>
    </row>
    <row r="3" spans="1:32" x14ac:dyDescent="0.2">
      <c r="A3" s="3"/>
      <c r="B3" s="11"/>
      <c r="C3" s="2"/>
      <c r="D3" s="2"/>
      <c r="L3" s="5"/>
      <c r="M3" s="6"/>
      <c r="N3" s="6"/>
      <c r="Q3" s="5"/>
      <c r="R3" s="6"/>
      <c r="S3" s="6"/>
    </row>
    <row r="4" spans="1:32" x14ac:dyDescent="0.2">
      <c r="A4" s="3" t="s">
        <v>1</v>
      </c>
      <c r="B4" s="12">
        <f>B14+G14+L14+V14+Z14</f>
        <v>452.5</v>
      </c>
      <c r="C4" s="2"/>
      <c r="D4" s="2"/>
      <c r="L4" s="5"/>
      <c r="M4" s="6"/>
      <c r="N4" s="6"/>
      <c r="Q4" s="5"/>
      <c r="R4" s="6"/>
      <c r="S4" s="6"/>
    </row>
    <row r="5" spans="1:32" x14ac:dyDescent="0.2">
      <c r="A5" s="71" t="s">
        <v>14</v>
      </c>
      <c r="B5" s="13">
        <f>B15+G15+H4615+L15+Q15+V15+AD15</f>
        <v>4014</v>
      </c>
      <c r="C5" s="2"/>
      <c r="D5" s="2"/>
      <c r="L5" s="5"/>
      <c r="M5" s="6"/>
      <c r="N5" s="6"/>
      <c r="Q5" s="5"/>
      <c r="R5" s="6"/>
      <c r="S5" s="6"/>
    </row>
    <row r="6" spans="1:32" x14ac:dyDescent="0.2">
      <c r="A6" s="3" t="s">
        <v>2</v>
      </c>
      <c r="B6" s="14">
        <f>B16+G16+L16+Q16+Z16</f>
        <v>7929</v>
      </c>
      <c r="C6" s="2"/>
      <c r="D6" s="2"/>
      <c r="L6" s="5"/>
      <c r="M6" s="6"/>
      <c r="N6" s="6"/>
      <c r="Q6" s="5"/>
      <c r="R6" s="6"/>
      <c r="S6" s="6"/>
    </row>
    <row r="7" spans="1:32" x14ac:dyDescent="0.2">
      <c r="A7" s="3" t="s">
        <v>3</v>
      </c>
      <c r="B7" s="15">
        <f>B5+B6+C7</f>
        <v>12883</v>
      </c>
      <c r="C7" s="16">
        <f>SUM(C17+H9+H17+M17+R17+W17+AA17)</f>
        <v>940</v>
      </c>
      <c r="D7" s="17"/>
      <c r="E7" s="18"/>
      <c r="L7" s="5"/>
      <c r="M7" s="6"/>
      <c r="N7" s="6"/>
      <c r="Q7" s="5"/>
      <c r="R7" s="6"/>
      <c r="S7" s="6"/>
    </row>
    <row r="8" spans="1:32" x14ac:dyDescent="0.2">
      <c r="A8" s="3" t="s">
        <v>4</v>
      </c>
      <c r="B8" s="15">
        <f>B22+G22+L22+V22</f>
        <v>6181.8</v>
      </c>
      <c r="C8" s="2"/>
      <c r="D8" s="2"/>
      <c r="L8" s="5"/>
      <c r="M8" s="6"/>
      <c r="N8" s="6"/>
      <c r="Q8" s="5"/>
      <c r="R8" s="6"/>
      <c r="S8" s="6"/>
    </row>
    <row r="9" spans="1:32" x14ac:dyDescent="0.2">
      <c r="A9" s="3"/>
      <c r="B9" s="19"/>
      <c r="L9" s="5"/>
      <c r="M9" s="6"/>
      <c r="N9" s="6"/>
      <c r="Q9" s="5"/>
      <c r="R9" s="6"/>
      <c r="S9" s="6"/>
    </row>
    <row r="10" spans="1:32" x14ac:dyDescent="0.2">
      <c r="A10" s="3" t="s">
        <v>5</v>
      </c>
      <c r="B10" s="15">
        <f>B8+B23+L26</f>
        <v>6381.8</v>
      </c>
      <c r="C10" s="2"/>
      <c r="D10" s="2"/>
      <c r="L10" s="5"/>
      <c r="M10" s="6"/>
      <c r="N10" s="6"/>
      <c r="Q10" s="5"/>
      <c r="R10" s="6"/>
      <c r="S10" s="6"/>
    </row>
    <row r="11" spans="1:32" x14ac:dyDescent="0.2">
      <c r="B11" s="20"/>
      <c r="C11" s="2"/>
      <c r="D11" s="2"/>
      <c r="G11" s="20"/>
      <c r="L11" s="5"/>
      <c r="M11" s="6"/>
      <c r="N11" s="6"/>
      <c r="Q11" s="5"/>
      <c r="R11" s="6"/>
      <c r="S11" s="6"/>
      <c r="V11" s="21"/>
      <c r="AD11" s="21"/>
    </row>
    <row r="12" spans="1:32" x14ac:dyDescent="0.2">
      <c r="B12" s="20" t="s">
        <v>6</v>
      </c>
      <c r="C12" s="2"/>
      <c r="D12" s="2"/>
      <c r="G12" s="20" t="s">
        <v>7</v>
      </c>
      <c r="H12" s="22"/>
      <c r="I12" s="5"/>
      <c r="J12" s="5"/>
      <c r="L12" s="20" t="s">
        <v>8</v>
      </c>
      <c r="M12" s="6"/>
      <c r="N12" s="6"/>
      <c r="Q12" s="20" t="s">
        <v>9</v>
      </c>
      <c r="R12" s="6"/>
      <c r="S12" s="6"/>
      <c r="V12" s="20" t="s">
        <v>10</v>
      </c>
      <c r="Z12" s="23" t="s">
        <v>11</v>
      </c>
      <c r="AA12" s="24"/>
      <c r="AB12" s="7"/>
      <c r="AD12" s="72" t="s">
        <v>35</v>
      </c>
    </row>
    <row r="13" spans="1:32" x14ac:dyDescent="0.2">
      <c r="B13" s="20"/>
      <c r="C13" s="2"/>
      <c r="D13" s="2"/>
      <c r="G13" s="20"/>
      <c r="H13" s="22"/>
      <c r="I13" s="5"/>
      <c r="J13" s="5"/>
      <c r="L13" s="20"/>
      <c r="M13" s="6"/>
      <c r="N13" s="6"/>
      <c r="Q13" s="20"/>
      <c r="R13" s="6"/>
      <c r="S13" s="6"/>
      <c r="V13" s="20"/>
      <c r="Z13" s="25" t="s">
        <v>12</v>
      </c>
      <c r="AA13" s="24"/>
      <c r="AB13" s="7"/>
      <c r="AD13" s="73" t="s">
        <v>36</v>
      </c>
      <c r="AE13" s="24"/>
    </row>
    <row r="14" spans="1:32" x14ac:dyDescent="0.2">
      <c r="A14" s="20" t="s">
        <v>13</v>
      </c>
      <c r="B14" s="26">
        <f>SUM(B31:B62)</f>
        <v>67.5</v>
      </c>
      <c r="C14" s="2"/>
      <c r="D14" s="2"/>
      <c r="G14" s="27">
        <f>SUM(G30:G60)</f>
        <v>104</v>
      </c>
      <c r="H14" s="22"/>
      <c r="I14" s="5"/>
      <c r="J14" s="5"/>
      <c r="L14" s="27">
        <f>SUM(L30:L62)</f>
        <v>117</v>
      </c>
      <c r="M14" s="6"/>
      <c r="N14" s="6"/>
      <c r="Q14" s="27">
        <f>SUM(Q30:Q62)</f>
        <v>0</v>
      </c>
      <c r="R14" s="6"/>
      <c r="S14" s="6"/>
      <c r="V14" s="27">
        <f>SUM(V28:V60)</f>
        <v>154</v>
      </c>
      <c r="W14" s="22"/>
      <c r="X14" s="5"/>
      <c r="Z14" s="27">
        <f>SUM(Z28:Z60)</f>
        <v>10</v>
      </c>
      <c r="AA14" s="22"/>
      <c r="AB14" s="5"/>
      <c r="AD14" s="27">
        <f>SUM(AD28:AD60)</f>
        <v>9</v>
      </c>
      <c r="AE14" s="22"/>
      <c r="AF14" s="5"/>
    </row>
    <row r="15" spans="1:32" x14ac:dyDescent="0.2">
      <c r="A15" s="3" t="s">
        <v>14</v>
      </c>
      <c r="B15" s="28">
        <f>SUM(C30:C59)</f>
        <v>0</v>
      </c>
      <c r="C15" s="2"/>
      <c r="D15" s="2"/>
      <c r="G15" s="29">
        <f>SUM(H30:H60)</f>
        <v>1195</v>
      </c>
      <c r="H15" s="22"/>
      <c r="I15" s="5"/>
      <c r="J15" s="5"/>
      <c r="L15" s="29">
        <f>SUM(M30:M60)</f>
        <v>0</v>
      </c>
      <c r="M15" s="6"/>
      <c r="N15" s="6"/>
      <c r="Q15" s="29">
        <f>SUM(R30:R60)</f>
        <v>686</v>
      </c>
      <c r="R15" s="6"/>
      <c r="S15" s="6"/>
      <c r="V15" s="30">
        <f>SUM(W30:W60)</f>
        <v>1860</v>
      </c>
      <c r="W15" s="22"/>
      <c r="X15" s="5"/>
      <c r="Z15" s="29"/>
      <c r="AA15" s="22"/>
      <c r="AB15" s="5"/>
      <c r="AD15" s="30">
        <f>SUM(AE30:AE60)</f>
        <v>273</v>
      </c>
      <c r="AE15" s="22"/>
      <c r="AF15" s="5"/>
    </row>
    <row r="16" spans="1:32" x14ac:dyDescent="0.2">
      <c r="A16" s="20" t="s">
        <v>2</v>
      </c>
      <c r="B16" s="29">
        <f>SUM(D30:D60)</f>
        <v>508</v>
      </c>
      <c r="C16" s="2"/>
      <c r="D16" s="2"/>
      <c r="G16" s="29">
        <f>SUM(I30:I60)</f>
        <v>2132</v>
      </c>
      <c r="H16" s="22"/>
      <c r="I16" s="5"/>
      <c r="J16" s="5"/>
      <c r="L16" s="29">
        <f>SUM(N30:N60)</f>
        <v>4663</v>
      </c>
      <c r="M16" s="6"/>
      <c r="N16" s="6"/>
      <c r="Q16" s="29">
        <f>SUM(S30:S60)</f>
        <v>626</v>
      </c>
      <c r="R16" s="6"/>
      <c r="S16" s="6"/>
      <c r="V16" s="29"/>
      <c r="W16" s="22"/>
      <c r="X16" s="5"/>
      <c r="Z16" s="29">
        <f>SUM(AA30:AA61)</f>
        <v>0</v>
      </c>
      <c r="AA16" s="22"/>
      <c r="AB16" s="5"/>
      <c r="AD16" s="29"/>
      <c r="AE16" s="22"/>
      <c r="AF16" s="5"/>
    </row>
    <row r="17" spans="1:32" x14ac:dyDescent="0.2">
      <c r="A17" s="20" t="s">
        <v>15</v>
      </c>
      <c r="B17" s="29">
        <f>B15+B16+C17</f>
        <v>908</v>
      </c>
      <c r="C17" s="31">
        <f>SUM(E30:E61)</f>
        <v>400</v>
      </c>
      <c r="D17" s="32"/>
      <c r="E17" s="33"/>
      <c r="G17" s="29">
        <f>G15+G16+H17</f>
        <v>3577</v>
      </c>
      <c r="H17" s="31">
        <f>SUM(J30:J61)</f>
        <v>250</v>
      </c>
      <c r="I17" s="34"/>
      <c r="J17" s="35"/>
      <c r="L17" s="29">
        <f>L15+L16+M17</f>
        <v>4663</v>
      </c>
      <c r="M17" s="36">
        <f>SUM(O30:O60)</f>
        <v>0</v>
      </c>
      <c r="N17" s="32"/>
      <c r="O17" s="35"/>
      <c r="Q17" s="29">
        <f>Q15+Q16+R17</f>
        <v>1312</v>
      </c>
      <c r="R17" s="36">
        <f>SUM(T30:T60)</f>
        <v>0</v>
      </c>
      <c r="S17" s="32"/>
      <c r="T17" s="35"/>
      <c r="U17" s="35"/>
      <c r="V17" s="29">
        <f>V15+V16+W17</f>
        <v>2150</v>
      </c>
      <c r="W17" s="36">
        <f>SUM(X30:X61)</f>
        <v>290</v>
      </c>
      <c r="X17" s="32"/>
      <c r="Z17" s="29">
        <f>Z15+Z16</f>
        <v>0</v>
      </c>
      <c r="AA17" s="37">
        <f>SUM(AB30:AB60)</f>
        <v>0</v>
      </c>
      <c r="AB17" s="32"/>
      <c r="AD17" s="29">
        <f>AD15+AD16+AE17</f>
        <v>273</v>
      </c>
      <c r="AE17" s="36">
        <f>SUM(AF30:AF61)</f>
        <v>0</v>
      </c>
      <c r="AF17" s="32"/>
    </row>
    <row r="18" spans="1:32" x14ac:dyDescent="0.2">
      <c r="A18" s="5" t="s">
        <v>16</v>
      </c>
      <c r="B18" s="28">
        <v>12</v>
      </c>
      <c r="C18" s="2"/>
      <c r="D18" s="2"/>
      <c r="G18" s="29">
        <v>11</v>
      </c>
      <c r="H18" s="22"/>
      <c r="I18" s="5"/>
      <c r="J18" s="5"/>
      <c r="L18" s="29">
        <v>12</v>
      </c>
      <c r="M18" s="6"/>
      <c r="N18" s="6"/>
      <c r="Q18" s="29"/>
      <c r="R18" s="6"/>
      <c r="S18" s="6"/>
      <c r="V18" s="29">
        <v>11</v>
      </c>
      <c r="W18" s="22"/>
      <c r="X18" s="5"/>
      <c r="Z18" s="29">
        <v>10</v>
      </c>
      <c r="AA18" s="22"/>
      <c r="AB18" s="5"/>
      <c r="AD18" s="29">
        <v>10</v>
      </c>
      <c r="AE18" s="22"/>
      <c r="AF18" s="5"/>
    </row>
    <row r="19" spans="1:32" x14ac:dyDescent="0.2">
      <c r="A19" s="5" t="s">
        <v>17</v>
      </c>
      <c r="B19" s="38">
        <v>10</v>
      </c>
      <c r="C19" s="6">
        <v>10</v>
      </c>
      <c r="D19" s="6"/>
      <c r="G19" s="39">
        <v>10</v>
      </c>
      <c r="H19" s="22">
        <v>10</v>
      </c>
      <c r="I19" s="5"/>
      <c r="J19" s="5"/>
      <c r="L19" s="39">
        <v>10</v>
      </c>
      <c r="M19" s="6">
        <v>10</v>
      </c>
      <c r="N19" s="6"/>
      <c r="O19" s="5"/>
      <c r="Q19" s="39"/>
      <c r="R19" s="6"/>
      <c r="S19" s="6"/>
      <c r="T19" s="5"/>
      <c r="U19" s="5"/>
      <c r="V19" s="39">
        <v>10</v>
      </c>
      <c r="W19" s="22">
        <v>10</v>
      </c>
      <c r="X19" s="5"/>
      <c r="Z19" s="39">
        <v>10</v>
      </c>
      <c r="AA19" s="22">
        <v>10</v>
      </c>
      <c r="AB19" s="5"/>
      <c r="AD19" s="39">
        <v>10</v>
      </c>
      <c r="AE19" s="22">
        <v>10</v>
      </c>
      <c r="AF19" s="5"/>
    </row>
    <row r="20" spans="1:32" x14ac:dyDescent="0.2">
      <c r="A20" s="5" t="s">
        <v>18</v>
      </c>
      <c r="B20" s="28">
        <f>B18*B14</f>
        <v>810</v>
      </c>
      <c r="D20" s="6"/>
      <c r="G20" s="29">
        <f>G18*G14</f>
        <v>1144</v>
      </c>
      <c r="H20" s="22"/>
      <c r="I20" s="5"/>
      <c r="J20" s="5"/>
      <c r="L20" s="29">
        <f>L18*L14</f>
        <v>1404</v>
      </c>
      <c r="M20" s="6"/>
      <c r="N20" s="6"/>
      <c r="O20" s="5"/>
      <c r="Q20" s="29"/>
      <c r="R20" s="6"/>
      <c r="S20" s="6"/>
      <c r="T20" s="5"/>
      <c r="U20" s="5"/>
      <c r="V20" s="29">
        <f>V18*V14</f>
        <v>1694</v>
      </c>
      <c r="W20" s="22"/>
      <c r="X20" s="5"/>
      <c r="Z20" s="29">
        <f>Z18*Z14</f>
        <v>100</v>
      </c>
      <c r="AA20" s="22"/>
      <c r="AB20" s="5"/>
      <c r="AD20" s="29">
        <f>AD18*AD14</f>
        <v>90</v>
      </c>
      <c r="AE20" s="22"/>
      <c r="AF20" s="5"/>
    </row>
    <row r="21" spans="1:32" x14ac:dyDescent="0.2">
      <c r="A21" s="5" t="s">
        <v>19</v>
      </c>
      <c r="B21" s="29">
        <f>B17*(B19/100)+C21</f>
        <v>90.800000000000011</v>
      </c>
      <c r="C21" s="6"/>
      <c r="D21" s="6"/>
      <c r="E21" s="32" t="s">
        <v>20</v>
      </c>
      <c r="G21" s="29">
        <f>G17*(G19/100)</f>
        <v>357.70000000000005</v>
      </c>
      <c r="H21" s="34"/>
      <c r="I21" s="34"/>
      <c r="J21" s="32"/>
      <c r="L21" s="29">
        <f>L17*(L19/100)</f>
        <v>466.3</v>
      </c>
      <c r="M21" s="34"/>
      <c r="N21" s="6"/>
      <c r="O21" s="32"/>
      <c r="Q21" s="29"/>
      <c r="R21" s="34">
        <f>R17*(R19/100)</f>
        <v>0</v>
      </c>
      <c r="S21" s="6"/>
      <c r="T21" s="32"/>
      <c r="U21" s="32"/>
      <c r="V21" s="29">
        <f>V17*(V19/100)+W21</f>
        <v>215</v>
      </c>
      <c r="W21" s="34"/>
      <c r="X21" s="32"/>
      <c r="Z21" s="29">
        <f>Z17*(Z19/100)+AA21</f>
        <v>0</v>
      </c>
      <c r="AA21" s="34"/>
      <c r="AB21" s="32"/>
      <c r="AD21" s="29">
        <f>AD17*(AD19/100)+AE21</f>
        <v>27.3</v>
      </c>
      <c r="AE21" s="34"/>
      <c r="AF21" s="32"/>
    </row>
    <row r="22" spans="1:32" x14ac:dyDescent="0.2">
      <c r="A22" s="5" t="s">
        <v>21</v>
      </c>
      <c r="B22" s="28">
        <f>B20+B21</f>
        <v>900.8</v>
      </c>
      <c r="C22" s="6"/>
      <c r="D22" s="6"/>
      <c r="G22" s="29">
        <f>G20+G21</f>
        <v>1501.7</v>
      </c>
      <c r="H22" s="22"/>
      <c r="I22" s="5"/>
      <c r="J22" s="5"/>
      <c r="L22" s="29">
        <f>L20+L21</f>
        <v>1870.3</v>
      </c>
      <c r="M22" s="6"/>
      <c r="N22" s="6"/>
      <c r="O22" s="5"/>
      <c r="Q22" s="29"/>
      <c r="R22" s="6"/>
      <c r="S22" s="6"/>
      <c r="T22" s="5"/>
      <c r="U22" s="5"/>
      <c r="V22" s="29">
        <f>V20+V21</f>
        <v>1909</v>
      </c>
      <c r="W22" s="22"/>
      <c r="Z22" s="29">
        <f>Z20+Z21</f>
        <v>100</v>
      </c>
      <c r="AA22" s="22"/>
      <c r="AB22" s="5"/>
      <c r="AD22" s="29">
        <f>AD20+AD21</f>
        <v>117.3</v>
      </c>
      <c r="AE22" s="22"/>
    </row>
    <row r="23" spans="1:32" x14ac:dyDescent="0.2">
      <c r="A23" s="40" t="s">
        <v>22</v>
      </c>
      <c r="B23" s="41"/>
      <c r="C23" s="6"/>
      <c r="D23" s="6"/>
      <c r="G23" s="28"/>
      <c r="H23" s="22"/>
      <c r="I23" s="5"/>
      <c r="J23" s="5"/>
      <c r="L23" s="28"/>
      <c r="M23" s="6"/>
      <c r="N23" s="6"/>
      <c r="O23" s="5"/>
      <c r="Q23" s="28"/>
      <c r="R23" s="6"/>
      <c r="S23" s="6"/>
      <c r="T23" s="5"/>
      <c r="U23" s="5"/>
      <c r="V23" s="28"/>
      <c r="W23" s="22"/>
      <c r="X23" s="5"/>
      <c r="Z23" s="29"/>
      <c r="AA23" s="22"/>
      <c r="AB23" s="5"/>
      <c r="AD23" s="28"/>
      <c r="AE23" s="22"/>
      <c r="AF23" s="5"/>
    </row>
    <row r="24" spans="1:32" x14ac:dyDescent="0.2">
      <c r="A24" s="40" t="s">
        <v>23</v>
      </c>
      <c r="B24" s="41"/>
      <c r="C24" s="6"/>
      <c r="D24" s="6"/>
      <c r="G24" s="28"/>
      <c r="H24" s="22"/>
      <c r="I24" s="5"/>
      <c r="J24" s="5"/>
      <c r="L24" s="28"/>
      <c r="M24" s="6"/>
      <c r="N24" s="6"/>
      <c r="O24" s="5"/>
      <c r="Q24" s="28"/>
      <c r="R24" s="6"/>
      <c r="S24" s="5"/>
      <c r="T24" s="5"/>
      <c r="U24" s="5"/>
      <c r="V24" s="28"/>
      <c r="W24" s="22"/>
      <c r="X24" s="5"/>
      <c r="Z24" s="29"/>
      <c r="AA24" s="22"/>
      <c r="AB24" s="5"/>
      <c r="AD24" s="28"/>
      <c r="AE24" s="22"/>
      <c r="AF24" s="5"/>
    </row>
    <row r="25" spans="1:32" x14ac:dyDescent="0.2">
      <c r="A25" s="40" t="s">
        <v>24</v>
      </c>
      <c r="B25" s="41"/>
      <c r="C25" s="6"/>
      <c r="D25" s="6"/>
      <c r="G25" s="28"/>
      <c r="H25" s="22"/>
      <c r="I25" s="5"/>
      <c r="J25" s="5"/>
      <c r="L25" s="28"/>
      <c r="M25" s="6"/>
      <c r="N25" s="6"/>
      <c r="O25" s="5"/>
      <c r="Q25" s="28"/>
      <c r="R25" s="6"/>
      <c r="S25" s="6"/>
      <c r="T25" s="5"/>
      <c r="U25" s="5"/>
      <c r="V25" s="28"/>
      <c r="W25" s="22"/>
      <c r="X25" s="5"/>
      <c r="Z25" s="29"/>
      <c r="AA25" s="22"/>
      <c r="AB25" s="5"/>
      <c r="AD25" s="28"/>
      <c r="AE25" s="22"/>
      <c r="AF25" s="5"/>
    </row>
    <row r="26" spans="1:32" x14ac:dyDescent="0.2">
      <c r="A26" s="5" t="s">
        <v>25</v>
      </c>
      <c r="B26" s="28"/>
      <c r="C26" s="6"/>
      <c r="D26" s="6"/>
      <c r="G26" s="28"/>
      <c r="H26" s="22"/>
      <c r="I26" s="5"/>
      <c r="J26" s="5"/>
      <c r="L26" s="42">
        <v>200</v>
      </c>
      <c r="M26" s="6"/>
      <c r="N26" s="6"/>
      <c r="O26" s="5"/>
      <c r="Q26" s="42"/>
      <c r="R26" s="6"/>
      <c r="S26" s="6"/>
      <c r="T26" s="5"/>
      <c r="U26" s="5"/>
      <c r="V26" s="28"/>
      <c r="W26" s="22"/>
      <c r="X26" s="5"/>
      <c r="Z26" s="29"/>
      <c r="AA26" s="22"/>
      <c r="AB26" s="5"/>
      <c r="AD26" s="28"/>
      <c r="AE26" s="22"/>
      <c r="AF26" s="5"/>
    </row>
    <row r="27" spans="1:32" x14ac:dyDescent="0.2">
      <c r="A27" s="5" t="s">
        <v>26</v>
      </c>
      <c r="B27" s="43">
        <f>B22-B24+B26</f>
        <v>900.8</v>
      </c>
      <c r="C27" s="6"/>
      <c r="D27" s="6"/>
      <c r="G27" s="44">
        <f>G22-G25+G26</f>
        <v>1501.7</v>
      </c>
      <c r="H27" s="22"/>
      <c r="I27" s="5"/>
      <c r="J27" s="5"/>
      <c r="L27" s="44">
        <f>L22+L26</f>
        <v>2070.3000000000002</v>
      </c>
      <c r="O27" s="5"/>
      <c r="Q27" s="44"/>
      <c r="T27" s="5"/>
      <c r="U27" s="5"/>
      <c r="V27" s="44">
        <f>V22-V25+V26</f>
        <v>1909</v>
      </c>
      <c r="W27" s="22"/>
      <c r="X27" s="5"/>
      <c r="Z27" s="44">
        <f>Z22-Z25+Z26</f>
        <v>100</v>
      </c>
      <c r="AA27" s="22"/>
      <c r="AB27" s="5"/>
      <c r="AD27" s="44">
        <f>AD22-AD25+AD26</f>
        <v>117.3</v>
      </c>
      <c r="AE27" s="22"/>
      <c r="AF27" s="5"/>
    </row>
    <row r="28" spans="1:32" x14ac:dyDescent="0.2">
      <c r="A28" s="5"/>
      <c r="B28" s="5"/>
      <c r="C28" s="6"/>
      <c r="D28" s="6"/>
      <c r="G28" s="5"/>
      <c r="H28" s="22"/>
      <c r="I28" s="5"/>
      <c r="J28" s="5"/>
      <c r="L28" s="5"/>
      <c r="M28" s="6"/>
      <c r="N28" s="6"/>
      <c r="O28" s="5"/>
      <c r="Q28" s="5"/>
      <c r="R28" s="6"/>
      <c r="S28" s="6"/>
      <c r="T28" s="5"/>
      <c r="U28" s="5"/>
      <c r="V28" s="45"/>
      <c r="W28" s="45"/>
      <c r="AD28" s="45"/>
      <c r="AE28" s="45"/>
    </row>
    <row r="29" spans="1:32" ht="36" customHeight="1" x14ac:dyDescent="0.2">
      <c r="A29" s="5" t="s">
        <v>27</v>
      </c>
      <c r="B29" s="46" t="s">
        <v>28</v>
      </c>
      <c r="C29" s="47" t="s">
        <v>32</v>
      </c>
      <c r="D29" s="48" t="s">
        <v>29</v>
      </c>
      <c r="E29" s="69" t="s">
        <v>30</v>
      </c>
      <c r="F29" s="50" t="s">
        <v>31</v>
      </c>
      <c r="G29" s="46" t="s">
        <v>28</v>
      </c>
      <c r="H29" s="47" t="s">
        <v>32</v>
      </c>
      <c r="I29" s="51" t="s">
        <v>29</v>
      </c>
      <c r="J29" s="49" t="s">
        <v>30</v>
      </c>
      <c r="L29" s="46" t="s">
        <v>28</v>
      </c>
      <c r="M29" s="52" t="s">
        <v>32</v>
      </c>
      <c r="N29" s="51" t="s">
        <v>29</v>
      </c>
      <c r="O29" s="49" t="s">
        <v>33</v>
      </c>
      <c r="Q29" s="46" t="s">
        <v>28</v>
      </c>
      <c r="R29" s="52" t="s">
        <v>32</v>
      </c>
      <c r="S29" s="51" t="s">
        <v>29</v>
      </c>
      <c r="T29" s="49" t="s">
        <v>33</v>
      </c>
      <c r="U29" s="53"/>
      <c r="V29" s="46" t="s">
        <v>28</v>
      </c>
      <c r="W29" s="52" t="s">
        <v>32</v>
      </c>
      <c r="X29" s="49" t="s">
        <v>30</v>
      </c>
      <c r="Z29" s="54" t="s">
        <v>28</v>
      </c>
      <c r="AA29" s="51" t="s">
        <v>29</v>
      </c>
      <c r="AB29" s="49" t="s">
        <v>33</v>
      </c>
      <c r="AD29" s="46" t="s">
        <v>28</v>
      </c>
      <c r="AE29" s="52" t="s">
        <v>32</v>
      </c>
      <c r="AF29" s="49" t="s">
        <v>30</v>
      </c>
    </row>
    <row r="30" spans="1:32" x14ac:dyDescent="0.2">
      <c r="A30" s="68">
        <v>46054</v>
      </c>
      <c r="B30" s="55"/>
      <c r="C30" s="56"/>
      <c r="D30" s="57"/>
      <c r="E30" s="58"/>
      <c r="F30" s="58"/>
      <c r="G30" s="55"/>
      <c r="H30" s="59"/>
      <c r="I30" s="57"/>
      <c r="J30" s="60"/>
      <c r="K30" s="60"/>
      <c r="L30" s="61">
        <v>11.5</v>
      </c>
      <c r="M30" s="58"/>
      <c r="N30" s="58">
        <v>1023</v>
      </c>
      <c r="O30" s="58"/>
      <c r="P30" s="60"/>
      <c r="Q30" s="61"/>
      <c r="R30" s="58"/>
      <c r="S30" s="58"/>
      <c r="T30" s="58"/>
      <c r="U30" s="58"/>
      <c r="V30" s="62">
        <v>9</v>
      </c>
      <c r="W30" s="63">
        <v>0</v>
      </c>
      <c r="X30" s="63"/>
      <c r="Z30" s="55"/>
      <c r="AD30" s="62"/>
      <c r="AF30" s="63"/>
    </row>
    <row r="31" spans="1:32" x14ac:dyDescent="0.2">
      <c r="A31" s="68">
        <v>46055</v>
      </c>
      <c r="B31" s="55">
        <v>9</v>
      </c>
      <c r="C31" s="56">
        <v>0</v>
      </c>
      <c r="D31" s="56"/>
      <c r="E31" s="58"/>
      <c r="F31" s="58"/>
      <c r="G31" s="55">
        <v>9</v>
      </c>
      <c r="H31" s="59"/>
      <c r="I31" s="57">
        <v>176</v>
      </c>
      <c r="J31" s="58"/>
      <c r="K31" s="60"/>
      <c r="L31" s="61"/>
      <c r="M31" s="58"/>
      <c r="O31" s="58"/>
      <c r="P31" s="60"/>
      <c r="Q31" s="61"/>
      <c r="R31" s="58"/>
      <c r="S31" s="58"/>
      <c r="T31" s="58"/>
      <c r="U31" s="58"/>
      <c r="V31" s="64"/>
      <c r="W31" s="57"/>
      <c r="X31" s="63"/>
      <c r="Z31" s="55"/>
      <c r="AA31" s="57"/>
      <c r="AD31" s="64"/>
      <c r="AE31" s="57"/>
      <c r="AF31" s="63"/>
    </row>
    <row r="32" spans="1:32" x14ac:dyDescent="0.2">
      <c r="A32" s="68">
        <v>46056</v>
      </c>
      <c r="B32" s="55">
        <v>12</v>
      </c>
      <c r="C32" s="56"/>
      <c r="D32" s="57">
        <v>40</v>
      </c>
      <c r="E32" s="58"/>
      <c r="F32" s="60"/>
      <c r="G32" s="55"/>
      <c r="H32" s="56"/>
      <c r="I32" s="57"/>
      <c r="J32" s="60"/>
      <c r="K32" s="60"/>
      <c r="L32" s="61"/>
      <c r="M32" s="58"/>
      <c r="N32" s="56"/>
      <c r="O32" s="58"/>
      <c r="P32" s="60"/>
      <c r="Q32" s="61"/>
      <c r="R32" s="58"/>
      <c r="S32" s="58"/>
      <c r="T32" s="58"/>
      <c r="U32" s="58"/>
      <c r="V32" s="62"/>
      <c r="W32" s="63"/>
      <c r="X32" s="63"/>
      <c r="Z32" s="55"/>
      <c r="AA32" s="57"/>
      <c r="AD32" s="62"/>
      <c r="AE32" s="63"/>
      <c r="AF32" s="63"/>
    </row>
    <row r="33" spans="1:32" x14ac:dyDescent="0.2">
      <c r="A33" s="68">
        <v>46057</v>
      </c>
      <c r="B33" s="55"/>
      <c r="C33" s="56"/>
      <c r="D33" s="57"/>
      <c r="E33" s="58"/>
      <c r="F33" s="60"/>
      <c r="G33" s="55">
        <v>9</v>
      </c>
      <c r="H33" s="59">
        <v>250</v>
      </c>
      <c r="I33" s="57"/>
      <c r="J33" s="60"/>
      <c r="K33" s="60"/>
      <c r="L33" s="61">
        <v>11.5</v>
      </c>
      <c r="M33" s="58"/>
      <c r="N33" s="58">
        <v>0</v>
      </c>
      <c r="O33" s="58"/>
      <c r="P33" s="60"/>
      <c r="Q33" s="61"/>
      <c r="R33" s="58"/>
      <c r="S33" s="58"/>
      <c r="T33" s="58"/>
      <c r="U33" s="58"/>
      <c r="V33" s="64"/>
      <c r="W33" s="63"/>
      <c r="X33" s="63"/>
      <c r="Z33" s="55"/>
      <c r="AA33" s="57"/>
      <c r="AD33" s="64"/>
      <c r="AE33" s="63"/>
      <c r="AF33" s="63"/>
    </row>
    <row r="34" spans="1:32" x14ac:dyDescent="0.2">
      <c r="A34" s="68">
        <v>46058</v>
      </c>
      <c r="B34" s="55">
        <v>9</v>
      </c>
      <c r="C34" s="56">
        <v>0</v>
      </c>
      <c r="D34" s="57"/>
      <c r="E34" s="58"/>
      <c r="F34" s="60"/>
      <c r="G34" s="55">
        <v>8.5</v>
      </c>
      <c r="H34" s="59"/>
      <c r="I34" s="57">
        <v>196</v>
      </c>
      <c r="J34" s="58"/>
      <c r="K34" s="60"/>
      <c r="L34" s="61"/>
      <c r="M34" s="58"/>
      <c r="N34" s="58"/>
      <c r="Q34" s="61"/>
      <c r="R34" s="58"/>
      <c r="V34" s="62"/>
      <c r="W34" s="63"/>
      <c r="Z34" s="55"/>
      <c r="AA34" s="57"/>
      <c r="AD34" s="62"/>
      <c r="AE34" s="63"/>
    </row>
    <row r="35" spans="1:32" x14ac:dyDescent="0.2">
      <c r="A35" s="68">
        <v>46059</v>
      </c>
      <c r="B35" s="55"/>
      <c r="C35" s="56"/>
      <c r="D35" s="57"/>
      <c r="E35" s="58"/>
      <c r="F35" s="60"/>
      <c r="G35" s="55">
        <v>8.5</v>
      </c>
      <c r="H35" s="59"/>
      <c r="I35" s="57">
        <v>336</v>
      </c>
      <c r="J35" s="60"/>
      <c r="K35" s="60"/>
      <c r="L35" s="61">
        <v>9</v>
      </c>
      <c r="M35" s="58"/>
      <c r="N35" s="58">
        <v>0</v>
      </c>
      <c r="Q35" s="61"/>
      <c r="R35" s="58"/>
      <c r="S35" s="56"/>
      <c r="V35" s="62"/>
      <c r="W35" s="63"/>
      <c r="X35" s="63"/>
      <c r="Z35" s="55"/>
      <c r="AA35" s="57"/>
      <c r="AD35" s="62"/>
      <c r="AE35" s="63"/>
      <c r="AF35" s="63"/>
    </row>
    <row r="36" spans="1:32" x14ac:dyDescent="0.2">
      <c r="A36" s="68">
        <v>46060</v>
      </c>
      <c r="B36" s="55">
        <v>12.5</v>
      </c>
      <c r="C36" s="56"/>
      <c r="E36" s="57">
        <v>220</v>
      </c>
      <c r="F36" s="60"/>
      <c r="G36" s="55"/>
      <c r="H36" s="59"/>
      <c r="I36" s="57"/>
      <c r="J36" s="60"/>
      <c r="K36" s="60"/>
      <c r="L36" s="61"/>
      <c r="M36" s="58"/>
      <c r="N36" s="58"/>
      <c r="Q36" s="61"/>
      <c r="R36" s="58"/>
      <c r="S36" s="58"/>
      <c r="V36" s="62"/>
      <c r="W36" s="58"/>
      <c r="Z36" s="55"/>
      <c r="AA36" s="57"/>
      <c r="AD36" s="62">
        <v>9</v>
      </c>
      <c r="AE36" s="58">
        <v>273</v>
      </c>
    </row>
    <row r="37" spans="1:32" x14ac:dyDescent="0.2">
      <c r="A37" s="68">
        <v>46061</v>
      </c>
      <c r="B37" s="55"/>
      <c r="C37" s="56"/>
      <c r="D37" s="57"/>
      <c r="E37" s="58"/>
      <c r="F37" s="60"/>
      <c r="G37" s="55">
        <v>9</v>
      </c>
      <c r="H37" s="59">
        <v>945</v>
      </c>
      <c r="I37" s="57"/>
      <c r="J37" s="60"/>
      <c r="K37" s="60"/>
      <c r="L37" s="61"/>
      <c r="M37" s="58"/>
      <c r="N37" s="58"/>
      <c r="Q37" s="61"/>
      <c r="R37" s="58"/>
      <c r="S37" s="58">
        <v>258</v>
      </c>
      <c r="V37" s="64"/>
      <c r="W37" s="58"/>
      <c r="Z37" s="55"/>
      <c r="AA37" s="57"/>
      <c r="AD37" s="64"/>
      <c r="AE37" s="58"/>
    </row>
    <row r="38" spans="1:32" x14ac:dyDescent="0.2">
      <c r="A38" s="68">
        <v>46062</v>
      </c>
      <c r="B38" s="55"/>
      <c r="C38" s="56"/>
      <c r="D38" s="57"/>
      <c r="E38" s="58"/>
      <c r="F38" s="60"/>
      <c r="G38" s="55">
        <v>7.5</v>
      </c>
      <c r="H38" s="59"/>
      <c r="I38" s="57">
        <v>318</v>
      </c>
      <c r="K38" s="60"/>
      <c r="L38" s="61"/>
      <c r="M38" s="58"/>
      <c r="N38" s="58"/>
      <c r="Q38" s="61"/>
      <c r="R38" s="58"/>
      <c r="S38" s="58"/>
      <c r="V38" s="64">
        <v>9</v>
      </c>
      <c r="W38" s="63">
        <v>0</v>
      </c>
      <c r="Z38" s="55">
        <v>5</v>
      </c>
      <c r="AA38" s="57">
        <v>0</v>
      </c>
      <c r="AD38" s="64"/>
      <c r="AE38" s="63"/>
    </row>
    <row r="39" spans="1:32" ht="15" customHeight="1" x14ac:dyDescent="0.2">
      <c r="A39" s="68">
        <v>46063</v>
      </c>
      <c r="B39" s="55">
        <v>12.5</v>
      </c>
      <c r="C39" s="56"/>
      <c r="D39" s="57">
        <v>208</v>
      </c>
      <c r="E39" s="58"/>
      <c r="F39" s="60"/>
      <c r="G39" s="55"/>
      <c r="H39" s="59"/>
      <c r="I39" s="57"/>
      <c r="J39" s="58"/>
      <c r="K39" s="60"/>
      <c r="L39" s="61"/>
      <c r="M39" s="58"/>
      <c r="N39" s="58"/>
      <c r="Q39" s="61"/>
      <c r="R39" s="58"/>
      <c r="S39" s="58"/>
      <c r="V39" s="62">
        <v>9</v>
      </c>
      <c r="W39" s="58">
        <v>500</v>
      </c>
      <c r="Z39" s="55"/>
      <c r="AA39" s="57"/>
      <c r="AD39" s="62"/>
      <c r="AE39" s="58"/>
    </row>
    <row r="40" spans="1:32" x14ac:dyDescent="0.2">
      <c r="A40" s="68">
        <v>46064</v>
      </c>
      <c r="B40" s="55"/>
      <c r="C40" s="56"/>
      <c r="D40" s="57"/>
      <c r="E40" s="58"/>
      <c r="F40" s="60"/>
      <c r="G40" s="55">
        <v>7.5</v>
      </c>
      <c r="H40" s="59"/>
      <c r="I40" s="57">
        <v>364</v>
      </c>
      <c r="J40" s="60"/>
      <c r="K40" s="60"/>
      <c r="L40" s="61"/>
      <c r="M40" s="58"/>
      <c r="N40" s="58"/>
      <c r="Q40" s="61"/>
      <c r="R40" s="58"/>
      <c r="S40" s="58"/>
      <c r="V40" s="62">
        <v>9</v>
      </c>
      <c r="W40" s="63">
        <v>0</v>
      </c>
      <c r="X40" s="58"/>
      <c r="Z40" s="70">
        <v>5</v>
      </c>
      <c r="AA40" s="57">
        <v>0</v>
      </c>
      <c r="AD40" s="62"/>
      <c r="AE40" s="63"/>
      <c r="AF40" s="58"/>
    </row>
    <row r="41" spans="1:32" x14ac:dyDescent="0.2">
      <c r="A41" s="68">
        <v>46065</v>
      </c>
      <c r="C41" s="56"/>
      <c r="D41" s="57"/>
      <c r="E41" s="58"/>
      <c r="F41" s="60"/>
      <c r="G41" s="55">
        <v>6</v>
      </c>
      <c r="H41" s="59"/>
      <c r="I41" s="57">
        <v>0</v>
      </c>
      <c r="J41" s="60"/>
      <c r="K41" s="60"/>
      <c r="L41" s="61">
        <v>6</v>
      </c>
      <c r="M41" s="58"/>
      <c r="N41" s="58">
        <v>0</v>
      </c>
      <c r="Q41" s="61"/>
      <c r="R41" s="58"/>
      <c r="S41" s="58"/>
      <c r="V41" s="62">
        <v>9</v>
      </c>
      <c r="W41" s="58">
        <v>0</v>
      </c>
      <c r="Z41" s="55"/>
      <c r="AA41" s="57"/>
      <c r="AD41" s="62"/>
      <c r="AE41" s="58"/>
    </row>
    <row r="42" spans="1:32" x14ac:dyDescent="0.2">
      <c r="A42" s="68">
        <v>46066</v>
      </c>
      <c r="B42" s="55"/>
      <c r="C42" s="56"/>
      <c r="D42" s="57"/>
      <c r="E42" s="58"/>
      <c r="F42" s="60"/>
      <c r="G42" s="55">
        <v>12.5</v>
      </c>
      <c r="H42" s="59"/>
      <c r="I42" s="57">
        <v>224</v>
      </c>
      <c r="J42" s="60"/>
      <c r="K42" s="60"/>
      <c r="L42" s="61"/>
      <c r="M42" s="58"/>
      <c r="N42" s="58"/>
      <c r="Q42" s="61"/>
      <c r="R42" s="58"/>
      <c r="S42" s="58"/>
      <c r="V42" s="64">
        <v>9</v>
      </c>
      <c r="W42" s="58">
        <v>0</v>
      </c>
      <c r="Z42" s="55"/>
      <c r="AA42" s="57"/>
      <c r="AD42" s="64"/>
      <c r="AE42" s="58"/>
    </row>
    <row r="43" spans="1:32" x14ac:dyDescent="0.2">
      <c r="A43" s="68">
        <v>46067</v>
      </c>
      <c r="B43" s="55">
        <v>12.5</v>
      </c>
      <c r="C43" s="56"/>
      <c r="D43" s="57">
        <v>260</v>
      </c>
      <c r="E43" s="58">
        <v>180</v>
      </c>
      <c r="F43" s="60"/>
      <c r="G43" s="55"/>
      <c r="H43" s="59"/>
      <c r="I43" s="57"/>
      <c r="J43" s="58"/>
      <c r="K43" s="60"/>
      <c r="L43" s="61"/>
      <c r="M43" s="58"/>
      <c r="N43" s="58"/>
      <c r="Q43" s="61"/>
      <c r="R43" s="58"/>
      <c r="S43" s="58"/>
      <c r="V43" s="64"/>
      <c r="W43" s="63"/>
      <c r="Z43" s="55"/>
      <c r="AA43" s="57"/>
      <c r="AD43" s="64"/>
      <c r="AE43" s="63"/>
    </row>
    <row r="44" spans="1:32" x14ac:dyDescent="0.2">
      <c r="A44" s="68">
        <v>46068</v>
      </c>
      <c r="B44" s="55"/>
      <c r="C44" s="56"/>
      <c r="D44" s="57"/>
      <c r="E44" s="58"/>
      <c r="F44" s="60"/>
      <c r="G44" s="55"/>
      <c r="H44" s="59"/>
      <c r="I44" s="57"/>
      <c r="J44" s="58"/>
      <c r="K44" s="60"/>
      <c r="L44" s="61">
        <v>9</v>
      </c>
      <c r="M44" s="58"/>
      <c r="N44" s="58">
        <v>268</v>
      </c>
      <c r="O44" s="58"/>
      <c r="Q44" s="61"/>
      <c r="R44" s="58"/>
      <c r="S44" s="58"/>
      <c r="V44" s="64">
        <v>9</v>
      </c>
      <c r="W44" s="58">
        <v>0</v>
      </c>
      <c r="X44" s="63"/>
      <c r="Z44" s="55"/>
      <c r="AA44" s="57"/>
      <c r="AD44" s="64"/>
      <c r="AE44" s="58"/>
      <c r="AF44" s="63"/>
    </row>
    <row r="45" spans="1:32" x14ac:dyDescent="0.2">
      <c r="A45" s="68">
        <v>46069</v>
      </c>
      <c r="B45" s="55"/>
      <c r="C45" s="56"/>
      <c r="D45" s="57"/>
      <c r="E45" s="58"/>
      <c r="F45" s="60"/>
      <c r="G45" s="55">
        <v>8.5</v>
      </c>
      <c r="H45" s="59"/>
      <c r="I45" s="57">
        <v>0</v>
      </c>
      <c r="J45" s="60"/>
      <c r="K45" s="60"/>
      <c r="L45" s="61"/>
      <c r="M45" s="58"/>
      <c r="N45" s="57"/>
      <c r="O45" s="58"/>
      <c r="Q45" s="61"/>
      <c r="R45" s="58"/>
      <c r="S45" s="58"/>
      <c r="T45" s="58"/>
      <c r="V45" s="64">
        <v>6.5</v>
      </c>
      <c r="W45" s="63">
        <v>0</v>
      </c>
      <c r="Z45" s="55"/>
      <c r="AA45" s="57"/>
      <c r="AD45" s="64"/>
      <c r="AE45" s="63"/>
    </row>
    <row r="46" spans="1:32" x14ac:dyDescent="0.2">
      <c r="A46" s="68">
        <v>46070</v>
      </c>
      <c r="B46" s="55"/>
      <c r="C46" s="56"/>
      <c r="D46" s="57"/>
      <c r="E46" s="58"/>
      <c r="F46" s="60"/>
      <c r="G46" s="55"/>
      <c r="H46" s="59"/>
      <c r="I46" s="57"/>
      <c r="J46" s="58"/>
      <c r="K46" s="60"/>
      <c r="L46" s="61"/>
      <c r="M46" s="58"/>
      <c r="N46" s="58"/>
      <c r="Q46" s="61"/>
      <c r="R46" s="58"/>
      <c r="S46" s="58"/>
      <c r="V46" s="65"/>
      <c r="Z46" s="55"/>
      <c r="AA46" s="57"/>
      <c r="AD46" s="65"/>
    </row>
    <row r="47" spans="1:32" x14ac:dyDescent="0.2">
      <c r="A47" s="68">
        <v>46071</v>
      </c>
      <c r="B47" s="55"/>
      <c r="C47" s="56"/>
      <c r="D47" s="57"/>
      <c r="E47" s="58"/>
      <c r="F47" s="60"/>
      <c r="G47" s="55"/>
      <c r="H47" s="59"/>
      <c r="I47" s="57"/>
      <c r="J47" s="60"/>
      <c r="K47" s="60"/>
      <c r="L47" s="61"/>
      <c r="M47" s="58"/>
      <c r="N47" s="58"/>
      <c r="Q47" s="61"/>
      <c r="R47" s="58"/>
      <c r="S47" s="58"/>
      <c r="V47" s="64">
        <v>9</v>
      </c>
      <c r="W47" s="58">
        <v>98</v>
      </c>
      <c r="X47" s="63"/>
      <c r="Z47" s="55"/>
      <c r="AA47" s="57"/>
      <c r="AD47" s="64"/>
      <c r="AE47" s="58"/>
      <c r="AF47" s="63"/>
    </row>
    <row r="48" spans="1:32" x14ac:dyDescent="0.2">
      <c r="A48" s="68">
        <v>46072</v>
      </c>
      <c r="B48" s="55"/>
      <c r="C48" s="56"/>
      <c r="D48" s="57"/>
      <c r="E48" s="58"/>
      <c r="F48" s="60"/>
      <c r="G48" s="55">
        <v>6</v>
      </c>
      <c r="H48" s="59"/>
      <c r="I48" s="57"/>
      <c r="J48" s="58">
        <v>250</v>
      </c>
      <c r="K48" s="60"/>
      <c r="L48" s="61">
        <v>6</v>
      </c>
      <c r="M48" s="58"/>
      <c r="N48" s="58">
        <v>676</v>
      </c>
      <c r="Q48" s="61"/>
      <c r="R48" s="58"/>
      <c r="V48" s="64">
        <v>9.5</v>
      </c>
      <c r="W48" s="58">
        <v>0</v>
      </c>
      <c r="Z48" s="55"/>
      <c r="AA48" s="57"/>
      <c r="AD48" s="64"/>
      <c r="AE48" s="58"/>
    </row>
    <row r="49" spans="1:32" x14ac:dyDescent="0.2">
      <c r="A49" s="68">
        <v>46073</v>
      </c>
      <c r="B49" s="55"/>
      <c r="C49" s="56"/>
      <c r="D49" s="57"/>
      <c r="E49" s="58"/>
      <c r="F49" s="60"/>
      <c r="G49" s="55">
        <v>12</v>
      </c>
      <c r="H49" s="59"/>
      <c r="I49" s="57">
        <v>518</v>
      </c>
      <c r="J49" s="60"/>
      <c r="K49" s="60"/>
      <c r="L49" s="61"/>
      <c r="M49" s="58"/>
      <c r="N49" s="58"/>
      <c r="R49" s="57"/>
      <c r="S49" s="58"/>
      <c r="V49" s="66">
        <v>9</v>
      </c>
      <c r="W49" s="58">
        <v>0</v>
      </c>
      <c r="Z49" s="55"/>
      <c r="AA49" s="57"/>
      <c r="AD49" s="66"/>
      <c r="AE49" s="58"/>
    </row>
    <row r="50" spans="1:32" x14ac:dyDescent="0.2">
      <c r="A50" s="68">
        <v>46074</v>
      </c>
      <c r="B50" s="55"/>
      <c r="C50" s="56"/>
      <c r="D50" s="57"/>
      <c r="E50" s="58"/>
      <c r="F50" s="60"/>
      <c r="G50" s="55"/>
      <c r="H50" s="59"/>
      <c r="I50" s="57"/>
      <c r="J50" s="60"/>
      <c r="K50" s="60"/>
      <c r="L50" s="61">
        <v>10.5</v>
      </c>
      <c r="M50" s="58"/>
      <c r="N50" s="58">
        <v>665</v>
      </c>
      <c r="S50" s="58"/>
      <c r="V50" s="66"/>
      <c r="W50" s="58"/>
      <c r="Z50" s="55"/>
      <c r="AA50" s="57"/>
      <c r="AD50" s="66"/>
      <c r="AE50" s="58"/>
    </row>
    <row r="51" spans="1:32" x14ac:dyDescent="0.2">
      <c r="A51" s="68">
        <v>46075</v>
      </c>
      <c r="B51" s="55"/>
      <c r="C51" s="56"/>
      <c r="D51" s="57"/>
      <c r="E51" s="58"/>
      <c r="F51" s="60"/>
      <c r="G51" s="55"/>
      <c r="H51" s="59"/>
      <c r="I51" s="57"/>
      <c r="J51" s="58"/>
      <c r="K51" s="60"/>
      <c r="L51" s="61">
        <v>10.5</v>
      </c>
      <c r="M51" s="58"/>
      <c r="N51" s="58">
        <v>330</v>
      </c>
      <c r="O51" s="58"/>
      <c r="S51" s="58"/>
      <c r="T51" s="58"/>
      <c r="U51" s="58"/>
      <c r="V51" s="66">
        <v>9</v>
      </c>
      <c r="W51" s="58">
        <v>0</v>
      </c>
      <c r="X51" s="58"/>
      <c r="Z51" s="55"/>
      <c r="AA51" s="57"/>
      <c r="AD51" s="66"/>
      <c r="AE51" s="58"/>
      <c r="AF51" s="58"/>
    </row>
    <row r="52" spans="1:32" x14ac:dyDescent="0.2">
      <c r="A52" s="68">
        <v>46076</v>
      </c>
      <c r="B52" s="55"/>
      <c r="C52" s="56"/>
      <c r="D52" s="57"/>
      <c r="E52" s="58"/>
      <c r="F52" s="60"/>
      <c r="G52" s="55"/>
      <c r="H52" s="59"/>
      <c r="I52" s="57"/>
      <c r="J52" s="58"/>
      <c r="K52" s="60"/>
      <c r="L52" s="61">
        <v>6</v>
      </c>
      <c r="M52" s="58"/>
      <c r="N52" s="57">
        <v>380</v>
      </c>
      <c r="R52" s="18"/>
      <c r="S52" s="58">
        <v>192</v>
      </c>
      <c r="V52" s="66">
        <v>9</v>
      </c>
      <c r="W52" s="58">
        <v>0</v>
      </c>
      <c r="Z52" s="55"/>
      <c r="AA52" s="57"/>
      <c r="AD52" s="66"/>
      <c r="AE52" s="58"/>
    </row>
    <row r="53" spans="1:32" x14ac:dyDescent="0.2">
      <c r="A53" s="68">
        <v>46077</v>
      </c>
      <c r="B53" s="55"/>
      <c r="C53" s="56"/>
      <c r="D53" s="57"/>
      <c r="E53" s="58"/>
      <c r="F53" s="60"/>
      <c r="G53" s="55"/>
      <c r="H53" s="59"/>
      <c r="I53" s="57"/>
      <c r="J53" s="60"/>
      <c r="K53" s="60"/>
      <c r="L53" s="61">
        <v>6</v>
      </c>
      <c r="M53" s="58"/>
      <c r="N53" s="58">
        <v>290</v>
      </c>
      <c r="O53" s="18"/>
      <c r="T53" s="18"/>
      <c r="U53" s="18"/>
      <c r="V53" s="66">
        <v>9</v>
      </c>
      <c r="W53" s="58">
        <v>0</v>
      </c>
      <c r="Z53" s="55"/>
      <c r="AA53" s="57"/>
      <c r="AD53" s="66"/>
      <c r="AE53" s="58"/>
    </row>
    <row r="54" spans="1:32" x14ac:dyDescent="0.2">
      <c r="A54" s="68">
        <v>46078</v>
      </c>
      <c r="B54" s="55"/>
      <c r="C54" s="56"/>
      <c r="D54" s="57"/>
      <c r="E54" s="58"/>
      <c r="F54" s="60"/>
      <c r="G54" s="55"/>
      <c r="H54" s="59"/>
      <c r="I54" s="57"/>
      <c r="J54" s="60"/>
      <c r="K54" s="60"/>
      <c r="L54" s="61">
        <v>6.5</v>
      </c>
      <c r="M54" s="58"/>
      <c r="N54" s="58">
        <v>0</v>
      </c>
      <c r="O54" s="58"/>
      <c r="S54" s="58"/>
      <c r="V54" s="66">
        <v>9</v>
      </c>
      <c r="W54" s="58"/>
      <c r="X54" s="58">
        <v>30</v>
      </c>
      <c r="Z54" s="55"/>
      <c r="AA54" s="57"/>
      <c r="AD54" s="66"/>
      <c r="AE54" s="58"/>
    </row>
    <row r="55" spans="1:32" x14ac:dyDescent="0.2">
      <c r="A55" s="68">
        <v>46079</v>
      </c>
      <c r="B55" s="55"/>
      <c r="C55" s="56"/>
      <c r="D55" s="57"/>
      <c r="E55" s="58"/>
      <c r="F55" s="60"/>
      <c r="G55" s="55"/>
      <c r="H55" s="59"/>
      <c r="I55" s="57"/>
      <c r="J55" s="60"/>
      <c r="K55" s="60"/>
      <c r="L55" s="61">
        <v>7</v>
      </c>
      <c r="M55" s="58"/>
      <c r="N55" s="58">
        <v>143</v>
      </c>
      <c r="S55" s="58"/>
      <c r="V55" s="66">
        <v>9</v>
      </c>
      <c r="W55" s="58">
        <v>0</v>
      </c>
      <c r="Z55" s="55"/>
      <c r="AA55" s="57"/>
      <c r="AB55" s="57"/>
      <c r="AD55" s="66"/>
      <c r="AE55" s="58"/>
    </row>
    <row r="56" spans="1:32" x14ac:dyDescent="0.2">
      <c r="A56" s="68">
        <v>46080</v>
      </c>
      <c r="B56" s="55"/>
      <c r="C56" s="56"/>
      <c r="D56" s="57"/>
      <c r="E56" s="58"/>
      <c r="F56" s="60"/>
      <c r="G56" s="55"/>
      <c r="H56" s="59"/>
      <c r="I56" s="57"/>
      <c r="J56" s="67"/>
      <c r="K56" s="60"/>
      <c r="L56" s="61">
        <v>6</v>
      </c>
      <c r="M56" s="58"/>
      <c r="N56" s="58">
        <v>388</v>
      </c>
      <c r="S56" s="58">
        <v>176</v>
      </c>
      <c r="V56" s="66">
        <v>9</v>
      </c>
      <c r="W56" s="58">
        <v>1262</v>
      </c>
      <c r="X56" s="58">
        <v>260</v>
      </c>
      <c r="Z56" s="55"/>
      <c r="AA56" s="57"/>
      <c r="AD56" s="66"/>
      <c r="AE56" s="58"/>
    </row>
    <row r="57" spans="1:32" x14ac:dyDescent="0.2">
      <c r="A57" s="68">
        <v>46081</v>
      </c>
      <c r="B57" s="55"/>
      <c r="C57" s="56"/>
      <c r="D57" s="57"/>
      <c r="E57" s="58"/>
      <c r="F57" s="60"/>
      <c r="G57" s="55"/>
      <c r="H57" s="59"/>
      <c r="I57" s="57"/>
      <c r="J57" s="60"/>
      <c r="K57" s="60"/>
      <c r="L57" s="61">
        <v>11.5</v>
      </c>
      <c r="M57" s="58"/>
      <c r="N57" s="58">
        <v>500</v>
      </c>
      <c r="O57" s="58"/>
      <c r="R57" s="58">
        <v>686</v>
      </c>
      <c r="V57" s="66">
        <v>3</v>
      </c>
      <c r="W57" s="58">
        <v>0</v>
      </c>
      <c r="Z57" s="55"/>
      <c r="AA57" s="57"/>
      <c r="AD57" s="66"/>
      <c r="AE57" s="58"/>
    </row>
    <row r="58" spans="1:32" x14ac:dyDescent="0.2">
      <c r="A58" s="68"/>
      <c r="B58" s="55"/>
      <c r="C58" s="56"/>
      <c r="D58" s="57"/>
      <c r="E58" s="58"/>
      <c r="F58" s="60"/>
      <c r="G58" s="55"/>
      <c r="H58" s="59"/>
      <c r="I58" s="57"/>
      <c r="J58" s="60"/>
      <c r="K58" s="60"/>
      <c r="L58" s="66"/>
      <c r="M58" s="58"/>
      <c r="N58" s="58"/>
      <c r="S58" s="58"/>
      <c r="V58" s="66"/>
      <c r="W58" s="58"/>
      <c r="Z58" s="55"/>
      <c r="AA58" s="57"/>
      <c r="AD58" s="66"/>
      <c r="AE58" s="58"/>
    </row>
    <row r="59" spans="1:32" x14ac:dyDescent="0.2">
      <c r="A59" s="68"/>
      <c r="B59" s="55"/>
      <c r="C59" s="56"/>
      <c r="D59" s="57"/>
      <c r="H59"/>
      <c r="V59" s="66"/>
      <c r="W59" s="58"/>
      <c r="Z59" s="55"/>
      <c r="AA59" s="57"/>
      <c r="AD59" s="66"/>
      <c r="AE59" s="58"/>
    </row>
    <row r="60" spans="1:32" x14ac:dyDescent="0.2">
      <c r="A60" s="68"/>
      <c r="B60" s="61"/>
      <c r="C60" s="58"/>
      <c r="D60" s="58"/>
      <c r="E60" s="58"/>
      <c r="F60" s="60"/>
      <c r="G60" s="61"/>
      <c r="H60" s="59"/>
      <c r="I60" s="58"/>
      <c r="J60" s="60"/>
      <c r="K60" s="60"/>
      <c r="L60" s="66"/>
      <c r="M60" s="58"/>
      <c r="N60" s="58"/>
      <c r="Q60" s="66"/>
      <c r="R60" s="58"/>
      <c r="S60" s="58"/>
      <c r="V60" s="64"/>
      <c r="W60" s="58"/>
      <c r="Z60" s="55"/>
      <c r="AA60" s="57"/>
      <c r="AD60" s="64"/>
      <c r="AE60" s="58"/>
    </row>
    <row r="61" spans="1:32" x14ac:dyDescent="0.2">
      <c r="AA61" s="5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6966C-2028-406C-9375-3EE81F0478A7}">
  <dimension ref="A1:AF61"/>
  <sheetViews>
    <sheetView tabSelected="1" zoomScale="98" zoomScaleNormal="98" workbookViewId="0">
      <selection activeCell="A47" sqref="A47:XFD47"/>
    </sheetView>
  </sheetViews>
  <sheetFormatPr defaultRowHeight="15" x14ac:dyDescent="0.2"/>
  <cols>
    <col min="1" max="1" width="25.9609375" customWidth="1"/>
    <col min="2" max="2" width="12.9140625" customWidth="1"/>
    <col min="3" max="3" width="9.81640625" customWidth="1"/>
    <col min="4" max="4" width="10.22265625" customWidth="1"/>
    <col min="5" max="5" width="12.5078125" customWidth="1"/>
    <col min="6" max="6" width="2.41796875" customWidth="1"/>
    <col min="7" max="7" width="9.14453125" customWidth="1"/>
    <col min="8" max="8" width="10.625" style="4" customWidth="1"/>
    <col min="9" max="9" width="10.76171875" customWidth="1"/>
    <col min="10" max="10" width="12.77734375" customWidth="1"/>
    <col min="11" max="11" width="2.28515625" customWidth="1"/>
    <col min="12" max="12" width="9.68359375" customWidth="1"/>
    <col min="13" max="14" width="10.22265625" customWidth="1"/>
    <col min="15" max="15" width="8.203125" customWidth="1"/>
    <col min="16" max="16" width="2.15234375" customWidth="1"/>
    <col min="17" max="17" width="9.68359375" customWidth="1"/>
    <col min="18" max="18" width="10.22265625" customWidth="1"/>
    <col min="19" max="19" width="12.5078125" customWidth="1"/>
    <col min="20" max="20" width="8.0703125" customWidth="1"/>
    <col min="21" max="21" width="2.28515625" customWidth="1"/>
    <col min="22" max="22" width="9.4140625" style="7" customWidth="1"/>
    <col min="23" max="23" width="11.1640625" style="7" customWidth="1"/>
    <col min="24" max="24" width="11.296875" style="7" customWidth="1"/>
    <col min="25" max="25" width="2.82421875" customWidth="1"/>
    <col min="26" max="26" width="9.14453125" style="8" customWidth="1"/>
    <col min="27" max="27" width="10.89453125" style="9" customWidth="1"/>
    <col min="28" max="28" width="9.4140625" customWidth="1"/>
    <col min="29" max="29" width="2.41796875" customWidth="1"/>
    <col min="30" max="30" width="9.4140625" style="7" customWidth="1"/>
    <col min="31" max="31" width="11.1640625" style="7" customWidth="1"/>
    <col min="32" max="32" width="11.296875" style="7" customWidth="1"/>
  </cols>
  <sheetData>
    <row r="1" spans="1:32" ht="18" x14ac:dyDescent="0.2">
      <c r="A1" s="1" t="s">
        <v>38</v>
      </c>
      <c r="C1" s="2"/>
      <c r="D1" s="2"/>
      <c r="E1" s="3" t="s">
        <v>0</v>
      </c>
      <c r="L1" s="5"/>
      <c r="M1" s="6"/>
      <c r="N1" s="6"/>
      <c r="Q1" s="5"/>
      <c r="R1" s="6"/>
      <c r="S1" s="6"/>
    </row>
    <row r="2" spans="1:32" x14ac:dyDescent="0.2">
      <c r="A2" s="3"/>
      <c r="B2" s="10"/>
      <c r="C2" s="2"/>
      <c r="D2" s="2"/>
      <c r="L2" s="5"/>
      <c r="M2" s="6"/>
      <c r="N2" s="6"/>
      <c r="Q2" s="5"/>
      <c r="R2" s="6"/>
      <c r="S2" s="6"/>
    </row>
    <row r="3" spans="1:32" x14ac:dyDescent="0.2">
      <c r="A3" s="3"/>
      <c r="B3" s="11"/>
      <c r="C3" s="2"/>
      <c r="D3" s="2"/>
      <c r="L3" s="5"/>
      <c r="M3" s="6"/>
      <c r="N3" s="6"/>
      <c r="Q3" s="5"/>
      <c r="R3" s="6"/>
      <c r="S3" s="6"/>
    </row>
    <row r="4" spans="1:32" x14ac:dyDescent="0.2">
      <c r="A4" s="3" t="s">
        <v>1</v>
      </c>
      <c r="B4" s="12">
        <f>B14+G14+L14+V14+Z14</f>
        <v>534.5</v>
      </c>
      <c r="C4" s="2"/>
      <c r="D4" s="2"/>
      <c r="L4" s="5"/>
      <c r="M4" s="6"/>
      <c r="N4" s="6"/>
      <c r="Q4" s="5"/>
      <c r="R4" s="6"/>
      <c r="S4" s="6"/>
    </row>
    <row r="5" spans="1:32" x14ac:dyDescent="0.2">
      <c r="A5" s="71" t="s">
        <v>14</v>
      </c>
      <c r="B5" s="13">
        <f>B15+G15+H4615+L15+Q15+V15+AD15</f>
        <v>11252</v>
      </c>
      <c r="C5" s="2"/>
      <c r="D5" s="2"/>
      <c r="L5" s="5"/>
      <c r="M5" s="6"/>
      <c r="N5" s="6"/>
      <c r="Q5" s="5"/>
      <c r="R5" s="6"/>
      <c r="S5" s="6"/>
    </row>
    <row r="6" spans="1:32" x14ac:dyDescent="0.2">
      <c r="A6" s="3" t="s">
        <v>2</v>
      </c>
      <c r="B6" s="14">
        <f>B16+G16+L16+Q16+Z16</f>
        <v>9675</v>
      </c>
      <c r="C6" s="2"/>
      <c r="D6" s="2"/>
      <c r="L6" s="5"/>
      <c r="M6" s="6"/>
      <c r="N6" s="6"/>
      <c r="Q6" s="5"/>
      <c r="R6" s="6"/>
      <c r="S6" s="6"/>
    </row>
    <row r="7" spans="1:32" x14ac:dyDescent="0.2">
      <c r="A7" s="3" t="s">
        <v>3</v>
      </c>
      <c r="B7" s="15">
        <f>B5+B6+C7</f>
        <v>21137</v>
      </c>
      <c r="C7" s="16">
        <f>SUM(C17+H9+H17+M17+R17+W17+AA17)</f>
        <v>210</v>
      </c>
      <c r="D7" s="17"/>
      <c r="E7" s="18"/>
      <c r="L7" s="5"/>
      <c r="M7" s="6"/>
      <c r="N7" s="6"/>
      <c r="Q7" s="5"/>
      <c r="R7" s="6"/>
      <c r="S7" s="6"/>
    </row>
    <row r="8" spans="1:32" x14ac:dyDescent="0.2">
      <c r="A8" s="3" t="s">
        <v>4</v>
      </c>
      <c r="B8" s="15">
        <f>B22+G22+L22+V22</f>
        <v>7468.7</v>
      </c>
      <c r="C8" s="2"/>
      <c r="D8" s="2"/>
      <c r="L8" s="5"/>
      <c r="M8" s="6"/>
      <c r="N8" s="6"/>
      <c r="Q8" s="5"/>
      <c r="R8" s="6"/>
      <c r="S8" s="6"/>
    </row>
    <row r="9" spans="1:32" x14ac:dyDescent="0.2">
      <c r="A9" s="3"/>
      <c r="B9" s="19"/>
      <c r="L9" s="5"/>
      <c r="M9" s="6"/>
      <c r="N9" s="6"/>
      <c r="Q9" s="5"/>
      <c r="R9" s="6"/>
      <c r="S9" s="6"/>
    </row>
    <row r="10" spans="1:32" x14ac:dyDescent="0.2">
      <c r="A10" s="3" t="s">
        <v>5</v>
      </c>
      <c r="B10" s="15">
        <f>B8+B23+L26</f>
        <v>7668.7</v>
      </c>
      <c r="C10" s="2"/>
      <c r="D10" s="2"/>
      <c r="L10" s="5"/>
      <c r="M10" s="6"/>
      <c r="N10" s="6"/>
      <c r="Q10" s="5"/>
      <c r="R10" s="6"/>
      <c r="S10" s="6"/>
    </row>
    <row r="11" spans="1:32" x14ac:dyDescent="0.2">
      <c r="B11" s="20"/>
      <c r="C11" s="2"/>
      <c r="D11" s="2"/>
      <c r="G11" s="20"/>
      <c r="L11" s="5"/>
      <c r="M11" s="6"/>
      <c r="N11" s="6"/>
      <c r="Q11" s="5"/>
      <c r="R11" s="6"/>
      <c r="S11" s="6"/>
      <c r="V11" s="21"/>
      <c r="AD11" s="21"/>
    </row>
    <row r="12" spans="1:32" x14ac:dyDescent="0.2">
      <c r="B12" s="20" t="s">
        <v>6</v>
      </c>
      <c r="C12" s="2"/>
      <c r="D12" s="2"/>
      <c r="G12" s="20" t="s">
        <v>7</v>
      </c>
      <c r="H12" s="22"/>
      <c r="I12" s="5"/>
      <c r="J12" s="5"/>
      <c r="L12" s="20" t="s">
        <v>8</v>
      </c>
      <c r="M12" s="6"/>
      <c r="N12" s="6"/>
      <c r="Q12" s="20" t="s">
        <v>9</v>
      </c>
      <c r="R12" s="6"/>
      <c r="S12" s="6"/>
      <c r="V12" s="20" t="s">
        <v>10</v>
      </c>
      <c r="Z12" s="23" t="s">
        <v>11</v>
      </c>
      <c r="AA12" s="24"/>
      <c r="AB12" s="7"/>
      <c r="AD12" s="72" t="s">
        <v>35</v>
      </c>
    </row>
    <row r="13" spans="1:32" x14ac:dyDescent="0.2">
      <c r="B13" s="20"/>
      <c r="C13" s="2"/>
      <c r="D13" s="2"/>
      <c r="G13" s="20"/>
      <c r="H13" s="22"/>
      <c r="I13" s="5"/>
      <c r="J13" s="5"/>
      <c r="L13" s="20"/>
      <c r="M13" s="6"/>
      <c r="N13" s="6"/>
      <c r="Q13" s="20"/>
      <c r="R13" s="6"/>
      <c r="S13" s="6"/>
      <c r="V13" s="20"/>
      <c r="Z13" s="25" t="s">
        <v>12</v>
      </c>
      <c r="AA13" s="24"/>
      <c r="AB13" s="7"/>
      <c r="AD13" s="73" t="s">
        <v>36</v>
      </c>
      <c r="AE13" s="24"/>
    </row>
    <row r="14" spans="1:32" x14ac:dyDescent="0.2">
      <c r="A14" s="20" t="s">
        <v>13</v>
      </c>
      <c r="B14" s="26">
        <f>SUM(B31:B62)</f>
        <v>80</v>
      </c>
      <c r="C14" s="2"/>
      <c r="D14" s="2"/>
      <c r="G14" s="27">
        <f>SUM(G30:G60)</f>
        <v>149</v>
      </c>
      <c r="H14" s="22"/>
      <c r="I14" s="5"/>
      <c r="J14" s="5"/>
      <c r="L14" s="27">
        <f>SUM(L30:L62)</f>
        <v>94.5</v>
      </c>
      <c r="M14" s="6"/>
      <c r="N14" s="6"/>
      <c r="Q14" s="27">
        <f>SUM(Q30:Q62)</f>
        <v>0</v>
      </c>
      <c r="R14" s="6"/>
      <c r="S14" s="6"/>
      <c r="V14" s="27">
        <f>SUM(V28:V60)</f>
        <v>166.5</v>
      </c>
      <c r="W14" s="22"/>
      <c r="X14" s="5"/>
      <c r="Z14" s="27">
        <f>SUM(Z28:Z60)</f>
        <v>44.5</v>
      </c>
      <c r="AA14" s="22"/>
      <c r="AB14" s="5"/>
      <c r="AD14" s="27">
        <f>SUM(AD28:AD60)</f>
        <v>0</v>
      </c>
      <c r="AE14" s="22"/>
      <c r="AF14" s="5"/>
    </row>
    <row r="15" spans="1:32" x14ac:dyDescent="0.2">
      <c r="A15" s="3" t="s">
        <v>14</v>
      </c>
      <c r="B15" s="28">
        <f>SUM(C30:C59)</f>
        <v>0</v>
      </c>
      <c r="C15" s="2"/>
      <c r="D15" s="2"/>
      <c r="G15" s="29">
        <f>SUM(H30:H60)</f>
        <v>80</v>
      </c>
      <c r="H15" s="22"/>
      <c r="I15" s="5"/>
      <c r="J15" s="5"/>
      <c r="L15" s="29">
        <f>SUM(M30:M60)</f>
        <v>518</v>
      </c>
      <c r="M15" s="6"/>
      <c r="N15" s="6"/>
      <c r="Q15" s="29">
        <f>SUM(R30:R60)</f>
        <v>1487</v>
      </c>
      <c r="R15" s="6"/>
      <c r="S15" s="6"/>
      <c r="V15" s="30">
        <f>SUM(W30:W60)</f>
        <v>9167</v>
      </c>
      <c r="W15" s="22"/>
      <c r="X15" s="5"/>
      <c r="Z15" s="29"/>
      <c r="AA15" s="22"/>
      <c r="AB15" s="5"/>
      <c r="AD15" s="30">
        <f>SUM(AE30:AE60)</f>
        <v>0</v>
      </c>
      <c r="AE15" s="22"/>
      <c r="AF15" s="5"/>
    </row>
    <row r="16" spans="1:32" x14ac:dyDescent="0.2">
      <c r="A16" s="20" t="s">
        <v>2</v>
      </c>
      <c r="B16" s="29">
        <f>SUM(D30:D60)</f>
        <v>4783</v>
      </c>
      <c r="C16" s="2"/>
      <c r="D16" s="2"/>
      <c r="G16" s="29">
        <f>SUM(I30:I60)</f>
        <v>1134</v>
      </c>
      <c r="H16" s="22"/>
      <c r="I16" s="5"/>
      <c r="J16" s="5"/>
      <c r="L16" s="29">
        <f>SUM(N30:N60)</f>
        <v>3150</v>
      </c>
      <c r="M16" s="6"/>
      <c r="N16" s="6"/>
      <c r="Q16" s="29">
        <f>SUM(S30:S60)</f>
        <v>0</v>
      </c>
      <c r="R16" s="6"/>
      <c r="S16" s="6"/>
      <c r="V16" s="29"/>
      <c r="W16" s="22"/>
      <c r="X16" s="5"/>
      <c r="Z16" s="29">
        <f>SUM(AA30:AA61)</f>
        <v>608</v>
      </c>
      <c r="AA16" s="22"/>
      <c r="AB16" s="5"/>
      <c r="AD16" s="29"/>
      <c r="AE16" s="22"/>
      <c r="AF16" s="5"/>
    </row>
    <row r="17" spans="1:32" x14ac:dyDescent="0.2">
      <c r="A17" s="20" t="s">
        <v>15</v>
      </c>
      <c r="B17" s="29">
        <f>B15+B16+C17</f>
        <v>4993</v>
      </c>
      <c r="C17" s="31">
        <f>SUM(E30:E61)</f>
        <v>210</v>
      </c>
      <c r="D17" s="32"/>
      <c r="E17" s="33"/>
      <c r="G17" s="29">
        <f>G15+G16+H17</f>
        <v>1214</v>
      </c>
      <c r="H17" s="31">
        <f>SUM(J30:J61)</f>
        <v>0</v>
      </c>
      <c r="I17" s="34"/>
      <c r="J17" s="35"/>
      <c r="L17" s="29">
        <f>L15+L16+M17</f>
        <v>3668</v>
      </c>
      <c r="M17" s="36">
        <f>SUM(O30:O60)</f>
        <v>0</v>
      </c>
      <c r="N17" s="32"/>
      <c r="O17" s="35"/>
      <c r="Q17" s="29">
        <f>Q15+Q16+R17</f>
        <v>1487</v>
      </c>
      <c r="R17" s="36">
        <f>SUM(T30:T60)</f>
        <v>0</v>
      </c>
      <c r="S17" s="32"/>
      <c r="T17" s="35"/>
      <c r="U17" s="35"/>
      <c r="V17" s="29">
        <f>V15+V16+W17</f>
        <v>9167</v>
      </c>
      <c r="W17" s="36">
        <f>SUM(X30:X61)</f>
        <v>0</v>
      </c>
      <c r="X17" s="32"/>
      <c r="Z17" s="29">
        <f>Z15+Z16</f>
        <v>608</v>
      </c>
      <c r="AA17" s="37">
        <f>SUM(AB30:AB60)</f>
        <v>0</v>
      </c>
      <c r="AB17" s="32"/>
      <c r="AD17" s="29">
        <f>AD15+AD16+AE17</f>
        <v>0</v>
      </c>
      <c r="AE17" s="36">
        <f>SUM(AF30:AF61)</f>
        <v>0</v>
      </c>
      <c r="AF17" s="32"/>
    </row>
    <row r="18" spans="1:32" x14ac:dyDescent="0.2">
      <c r="A18" s="5" t="s">
        <v>16</v>
      </c>
      <c r="B18" s="28">
        <v>12</v>
      </c>
      <c r="C18" s="2"/>
      <c r="D18" s="2"/>
      <c r="G18" s="29">
        <v>11</v>
      </c>
      <c r="H18" s="22"/>
      <c r="I18" s="5"/>
      <c r="J18" s="5"/>
      <c r="L18" s="29">
        <v>12</v>
      </c>
      <c r="M18" s="6"/>
      <c r="N18" s="6"/>
      <c r="Q18" s="29"/>
      <c r="R18" s="6"/>
      <c r="S18" s="6"/>
      <c r="V18" s="29">
        <v>11</v>
      </c>
      <c r="W18" s="22"/>
      <c r="X18" s="5"/>
      <c r="Z18" s="29">
        <v>10</v>
      </c>
      <c r="AA18" s="22"/>
      <c r="AB18" s="5"/>
      <c r="AD18" s="29">
        <v>10</v>
      </c>
      <c r="AE18" s="22"/>
      <c r="AF18" s="5"/>
    </row>
    <row r="19" spans="1:32" x14ac:dyDescent="0.2">
      <c r="A19" s="5" t="s">
        <v>17</v>
      </c>
      <c r="B19" s="38">
        <v>10</v>
      </c>
      <c r="C19" s="6">
        <v>10</v>
      </c>
      <c r="D19" s="6"/>
      <c r="G19" s="39">
        <v>10</v>
      </c>
      <c r="H19" s="22">
        <v>10</v>
      </c>
      <c r="I19" s="5"/>
      <c r="J19" s="5"/>
      <c r="L19" s="39">
        <v>10</v>
      </c>
      <c r="M19" s="6">
        <v>10</v>
      </c>
      <c r="N19" s="6"/>
      <c r="O19" s="5"/>
      <c r="Q19" s="39"/>
      <c r="R19" s="6"/>
      <c r="S19" s="6"/>
      <c r="T19" s="5"/>
      <c r="U19" s="5"/>
      <c r="V19" s="39">
        <v>10</v>
      </c>
      <c r="W19" s="22">
        <v>10</v>
      </c>
      <c r="X19" s="5"/>
      <c r="Z19" s="39">
        <v>10</v>
      </c>
      <c r="AA19" s="22">
        <v>10</v>
      </c>
      <c r="AB19" s="5"/>
      <c r="AD19" s="39">
        <v>10</v>
      </c>
      <c r="AE19" s="22">
        <v>10</v>
      </c>
      <c r="AF19" s="5"/>
    </row>
    <row r="20" spans="1:32" x14ac:dyDescent="0.2">
      <c r="A20" s="5" t="s">
        <v>18</v>
      </c>
      <c r="B20" s="28">
        <f>B18*B14</f>
        <v>960</v>
      </c>
      <c r="D20" s="6"/>
      <c r="G20" s="29">
        <f>G18*G14</f>
        <v>1639</v>
      </c>
      <c r="H20" s="22"/>
      <c r="I20" s="5"/>
      <c r="J20" s="5"/>
      <c r="L20" s="29">
        <f>L18*L14</f>
        <v>1134</v>
      </c>
      <c r="M20" s="6"/>
      <c r="N20" s="6"/>
      <c r="O20" s="5"/>
      <c r="Q20" s="29"/>
      <c r="R20" s="6"/>
      <c r="S20" s="6"/>
      <c r="T20" s="5"/>
      <c r="U20" s="5"/>
      <c r="V20" s="29">
        <f>V18*V14</f>
        <v>1831.5</v>
      </c>
      <c r="W20" s="22"/>
      <c r="X20" s="5"/>
      <c r="Z20" s="29">
        <f>Z18*Z14</f>
        <v>445</v>
      </c>
      <c r="AA20" s="22"/>
      <c r="AB20" s="5"/>
      <c r="AD20" s="29">
        <f>AD18*AD14</f>
        <v>0</v>
      </c>
      <c r="AE20" s="22"/>
      <c r="AF20" s="5"/>
    </row>
    <row r="21" spans="1:32" x14ac:dyDescent="0.2">
      <c r="A21" s="5" t="s">
        <v>19</v>
      </c>
      <c r="B21" s="29">
        <f>B17*(B19/100)+C21</f>
        <v>499.3</v>
      </c>
      <c r="C21" s="6"/>
      <c r="D21" s="6"/>
      <c r="E21" s="32" t="s">
        <v>20</v>
      </c>
      <c r="G21" s="29">
        <f>G17*(G19/100)</f>
        <v>121.4</v>
      </c>
      <c r="H21" s="34"/>
      <c r="I21" s="34"/>
      <c r="J21" s="32"/>
      <c r="L21" s="29">
        <f>L17*(L19/100)</f>
        <v>366.8</v>
      </c>
      <c r="M21" s="34"/>
      <c r="N21" s="6"/>
      <c r="O21" s="32"/>
      <c r="Q21" s="29"/>
      <c r="R21" s="34">
        <f>R17*(R19/100)</f>
        <v>0</v>
      </c>
      <c r="S21" s="6"/>
      <c r="T21" s="32"/>
      <c r="U21" s="32"/>
      <c r="V21" s="29">
        <f>V17*(V19/100)+W21</f>
        <v>916.7</v>
      </c>
      <c r="W21" s="34"/>
      <c r="X21" s="32"/>
      <c r="Z21" s="29">
        <f>Z17*(Z19/100)+AA21</f>
        <v>60.800000000000004</v>
      </c>
      <c r="AA21" s="34"/>
      <c r="AB21" s="32"/>
      <c r="AD21" s="29">
        <f>AD17*(AD19/100)+AE21</f>
        <v>0</v>
      </c>
      <c r="AE21" s="34"/>
      <c r="AF21" s="32"/>
    </row>
    <row r="22" spans="1:32" x14ac:dyDescent="0.2">
      <c r="A22" s="5" t="s">
        <v>21</v>
      </c>
      <c r="B22" s="28">
        <f>B20+B21</f>
        <v>1459.3</v>
      </c>
      <c r="C22" s="6"/>
      <c r="D22" s="6"/>
      <c r="G22" s="29">
        <f>G20+G21</f>
        <v>1760.4</v>
      </c>
      <c r="H22" s="22"/>
      <c r="I22" s="5"/>
      <c r="J22" s="5"/>
      <c r="L22" s="29">
        <f>L20+L21</f>
        <v>1500.8</v>
      </c>
      <c r="M22" s="6"/>
      <c r="N22" s="6"/>
      <c r="O22" s="5"/>
      <c r="Q22" s="29"/>
      <c r="R22" s="6"/>
      <c r="S22" s="6"/>
      <c r="T22" s="5"/>
      <c r="U22" s="5"/>
      <c r="V22" s="29">
        <f>V20+V21</f>
        <v>2748.2</v>
      </c>
      <c r="W22" s="22"/>
      <c r="Z22" s="29">
        <f>Z20+Z21</f>
        <v>505.8</v>
      </c>
      <c r="AA22" s="22"/>
      <c r="AB22" s="5"/>
      <c r="AD22" s="29">
        <f>AD20+AD21</f>
        <v>0</v>
      </c>
      <c r="AE22" s="22"/>
    </row>
    <row r="23" spans="1:32" x14ac:dyDescent="0.2">
      <c r="A23" s="40" t="s">
        <v>22</v>
      </c>
      <c r="B23" s="41"/>
      <c r="C23" s="6"/>
      <c r="D23" s="6"/>
      <c r="G23" s="28"/>
      <c r="H23" s="22"/>
      <c r="I23" s="5"/>
      <c r="J23" s="5"/>
      <c r="L23" s="28"/>
      <c r="M23" s="6"/>
      <c r="N23" s="6"/>
      <c r="O23" s="5"/>
      <c r="Q23" s="28"/>
      <c r="R23" s="6"/>
      <c r="S23" s="6"/>
      <c r="T23" s="5"/>
      <c r="U23" s="5"/>
      <c r="V23" s="28"/>
      <c r="W23" s="22"/>
      <c r="X23" s="5"/>
      <c r="Z23" s="29"/>
      <c r="AA23" s="22"/>
      <c r="AB23" s="5"/>
      <c r="AD23" s="28"/>
      <c r="AE23" s="22"/>
      <c r="AF23" s="5"/>
    </row>
    <row r="24" spans="1:32" x14ac:dyDescent="0.2">
      <c r="A24" s="40" t="s">
        <v>23</v>
      </c>
      <c r="B24" s="41"/>
      <c r="C24" s="6"/>
      <c r="D24" s="6"/>
      <c r="G24" s="28"/>
      <c r="H24" s="22"/>
      <c r="I24" s="5"/>
      <c r="J24" s="5"/>
      <c r="L24" s="28"/>
      <c r="M24" s="6"/>
      <c r="N24" s="6"/>
      <c r="O24" s="5"/>
      <c r="Q24" s="28"/>
      <c r="R24" s="6"/>
      <c r="S24" s="5"/>
      <c r="T24" s="5"/>
      <c r="U24" s="5"/>
      <c r="V24" s="28"/>
      <c r="W24" s="22"/>
      <c r="X24" s="5"/>
      <c r="Z24" s="29"/>
      <c r="AA24" s="22"/>
      <c r="AB24" s="5"/>
      <c r="AD24" s="28"/>
      <c r="AE24" s="22"/>
      <c r="AF24" s="5"/>
    </row>
    <row r="25" spans="1:32" x14ac:dyDescent="0.2">
      <c r="A25" s="40" t="s">
        <v>24</v>
      </c>
      <c r="B25" s="41"/>
      <c r="C25" s="6"/>
      <c r="D25" s="6"/>
      <c r="G25" s="28"/>
      <c r="H25" s="22"/>
      <c r="I25" s="5"/>
      <c r="J25" s="5"/>
      <c r="L25" s="28"/>
      <c r="M25" s="6"/>
      <c r="N25" s="6"/>
      <c r="O25" s="5"/>
      <c r="Q25" s="28"/>
      <c r="R25" s="6"/>
      <c r="S25" s="6"/>
      <c r="T25" s="5"/>
      <c r="U25" s="5"/>
      <c r="V25" s="28"/>
      <c r="W25" s="22"/>
      <c r="X25" s="5"/>
      <c r="Z25" s="29"/>
      <c r="AA25" s="22"/>
      <c r="AB25" s="5"/>
      <c r="AD25" s="28"/>
      <c r="AE25" s="22"/>
      <c r="AF25" s="5"/>
    </row>
    <row r="26" spans="1:32" x14ac:dyDescent="0.2">
      <c r="A26" s="5" t="s">
        <v>25</v>
      </c>
      <c r="B26" s="28"/>
      <c r="C26" s="6"/>
      <c r="D26" s="6"/>
      <c r="G26" s="28"/>
      <c r="H26" s="22"/>
      <c r="I26" s="5"/>
      <c r="J26" s="5"/>
      <c r="L26" s="42">
        <v>200</v>
      </c>
      <c r="M26" s="6"/>
      <c r="N26" s="6"/>
      <c r="O26" s="5"/>
      <c r="Q26" s="42"/>
      <c r="R26" s="6"/>
      <c r="S26" s="6"/>
      <c r="T26" s="5"/>
      <c r="U26" s="5"/>
      <c r="V26" s="28"/>
      <c r="W26" s="22"/>
      <c r="X26" s="5"/>
      <c r="Z26" s="29"/>
      <c r="AA26" s="22"/>
      <c r="AB26" s="5"/>
      <c r="AD26" s="28"/>
      <c r="AE26" s="22"/>
      <c r="AF26" s="5"/>
    </row>
    <row r="27" spans="1:32" x14ac:dyDescent="0.2">
      <c r="A27" s="5" t="s">
        <v>26</v>
      </c>
      <c r="B27" s="43">
        <f>B22-B24+B26</f>
        <v>1459.3</v>
      </c>
      <c r="C27" s="6"/>
      <c r="D27" s="6"/>
      <c r="G27" s="44">
        <f>G22-G25+G26</f>
        <v>1760.4</v>
      </c>
      <c r="H27" s="22"/>
      <c r="I27" s="5"/>
      <c r="J27" s="5"/>
      <c r="L27" s="44">
        <f>L22+L26</f>
        <v>1700.8</v>
      </c>
      <c r="O27" s="5"/>
      <c r="Q27" s="44"/>
      <c r="T27" s="5"/>
      <c r="U27" s="5"/>
      <c r="V27" s="44">
        <f>V22-V25+V26</f>
        <v>2748.2</v>
      </c>
      <c r="W27" s="22"/>
      <c r="X27" s="5"/>
      <c r="Z27" s="44">
        <f>Z22-Z25+Z26</f>
        <v>505.8</v>
      </c>
      <c r="AA27" s="22"/>
      <c r="AB27" s="5"/>
      <c r="AD27" s="44">
        <f>AD22-AD25+AD26</f>
        <v>0</v>
      </c>
      <c r="AE27" s="22"/>
      <c r="AF27" s="5"/>
    </row>
    <row r="28" spans="1:32" x14ac:dyDescent="0.2">
      <c r="A28" s="5"/>
      <c r="B28" s="5"/>
      <c r="C28" s="6"/>
      <c r="D28" s="6"/>
      <c r="G28" s="5"/>
      <c r="H28" s="22"/>
      <c r="I28" s="5"/>
      <c r="J28" s="5"/>
      <c r="L28" s="5"/>
      <c r="M28" s="6"/>
      <c r="N28" s="6"/>
      <c r="O28" s="5"/>
      <c r="Q28" s="5"/>
      <c r="R28" s="6"/>
      <c r="S28" s="6"/>
      <c r="T28" s="5"/>
      <c r="U28" s="5"/>
      <c r="V28" s="45"/>
      <c r="W28" s="45"/>
      <c r="AD28" s="45"/>
      <c r="AE28" s="45"/>
    </row>
    <row r="29" spans="1:32" ht="36" customHeight="1" x14ac:dyDescent="0.2">
      <c r="A29" s="5" t="s">
        <v>27</v>
      </c>
      <c r="B29" s="46" t="s">
        <v>28</v>
      </c>
      <c r="C29" s="47" t="s">
        <v>32</v>
      </c>
      <c r="D29" s="48" t="s">
        <v>29</v>
      </c>
      <c r="E29" s="69" t="s">
        <v>30</v>
      </c>
      <c r="F29" s="50" t="s">
        <v>31</v>
      </c>
      <c r="G29" s="46" t="s">
        <v>28</v>
      </c>
      <c r="H29" s="47" t="s">
        <v>32</v>
      </c>
      <c r="I29" s="51" t="s">
        <v>29</v>
      </c>
      <c r="J29" s="49" t="s">
        <v>30</v>
      </c>
      <c r="L29" s="46" t="s">
        <v>28</v>
      </c>
      <c r="M29" s="52" t="s">
        <v>32</v>
      </c>
      <c r="N29" s="51" t="s">
        <v>29</v>
      </c>
      <c r="O29" s="49" t="s">
        <v>33</v>
      </c>
      <c r="Q29" s="46" t="s">
        <v>28</v>
      </c>
      <c r="R29" s="52" t="s">
        <v>32</v>
      </c>
      <c r="S29" s="51" t="s">
        <v>29</v>
      </c>
      <c r="T29" s="49" t="s">
        <v>33</v>
      </c>
      <c r="U29" s="53"/>
      <c r="V29" s="46" t="s">
        <v>28</v>
      </c>
      <c r="W29" s="52" t="s">
        <v>32</v>
      </c>
      <c r="X29" s="49" t="s">
        <v>30</v>
      </c>
      <c r="Z29" s="54" t="s">
        <v>28</v>
      </c>
      <c r="AA29" s="51" t="s">
        <v>29</v>
      </c>
      <c r="AB29" s="49" t="s">
        <v>33</v>
      </c>
      <c r="AD29" s="46" t="s">
        <v>28</v>
      </c>
      <c r="AE29" s="52" t="s">
        <v>32</v>
      </c>
      <c r="AF29" s="49" t="s">
        <v>30</v>
      </c>
    </row>
    <row r="30" spans="1:32" x14ac:dyDescent="0.2">
      <c r="A30" s="68">
        <v>46082</v>
      </c>
      <c r="C30" s="56"/>
      <c r="D30" s="57"/>
      <c r="E30" s="58"/>
      <c r="F30" s="58"/>
      <c r="G30" s="55"/>
      <c r="H30" s="59"/>
      <c r="I30" s="57"/>
      <c r="J30" s="60"/>
      <c r="K30" s="60"/>
      <c r="L30" s="61">
        <v>8.5</v>
      </c>
      <c r="M30" s="58"/>
      <c r="N30" s="58">
        <v>416</v>
      </c>
      <c r="O30" s="58"/>
      <c r="P30" s="60"/>
      <c r="Q30" s="61"/>
      <c r="R30" s="58"/>
      <c r="S30" s="58"/>
      <c r="T30" s="58"/>
      <c r="U30" s="58"/>
      <c r="V30" s="62">
        <v>3.5</v>
      </c>
      <c r="W30" s="63">
        <v>0</v>
      </c>
      <c r="X30" s="63"/>
      <c r="Z30" s="55"/>
      <c r="AD30" s="62"/>
      <c r="AF30" s="63"/>
    </row>
    <row r="31" spans="1:32" x14ac:dyDescent="0.2">
      <c r="A31" s="68">
        <v>46083</v>
      </c>
      <c r="B31" s="55"/>
      <c r="C31" s="56"/>
      <c r="D31" s="55"/>
      <c r="E31" s="58"/>
      <c r="F31" s="58"/>
      <c r="G31" s="55">
        <v>7.5</v>
      </c>
      <c r="H31" s="59"/>
      <c r="I31" s="57">
        <v>207</v>
      </c>
      <c r="J31" s="58"/>
      <c r="K31" s="60"/>
      <c r="L31" s="61"/>
      <c r="M31" s="58"/>
      <c r="O31" s="58"/>
      <c r="P31" s="60"/>
      <c r="Q31" s="61"/>
      <c r="R31" s="58"/>
      <c r="S31" s="58"/>
      <c r="T31" s="58"/>
      <c r="U31" s="58"/>
      <c r="V31" s="64">
        <v>8</v>
      </c>
      <c r="W31" s="57">
        <v>96</v>
      </c>
      <c r="X31" s="63"/>
      <c r="Z31" s="55">
        <v>4.5</v>
      </c>
      <c r="AA31" s="57">
        <v>0</v>
      </c>
      <c r="AD31" s="64"/>
      <c r="AE31" s="57"/>
      <c r="AF31" s="63"/>
    </row>
    <row r="32" spans="1:32" x14ac:dyDescent="0.2">
      <c r="A32" s="68">
        <v>46084</v>
      </c>
      <c r="B32" s="55"/>
      <c r="C32" s="56"/>
      <c r="D32" s="57"/>
      <c r="E32" s="58"/>
      <c r="F32" s="60"/>
      <c r="G32" s="55"/>
      <c r="H32" s="56"/>
      <c r="I32" s="57"/>
      <c r="J32" s="60"/>
      <c r="K32" s="60"/>
      <c r="L32" s="61">
        <v>7.5</v>
      </c>
      <c r="M32" s="58"/>
      <c r="N32" s="56">
        <v>266</v>
      </c>
      <c r="O32" s="58"/>
      <c r="P32" s="60"/>
      <c r="Q32" s="61"/>
      <c r="R32" s="58">
        <v>580</v>
      </c>
      <c r="S32" s="58"/>
      <c r="T32" s="58"/>
      <c r="U32" s="58"/>
      <c r="V32" s="62"/>
      <c r="W32" s="63"/>
      <c r="X32" s="63"/>
      <c r="Z32" s="55"/>
      <c r="AA32" s="57"/>
      <c r="AD32" s="62"/>
      <c r="AE32" s="63"/>
      <c r="AF32" s="63"/>
    </row>
    <row r="33" spans="1:32" x14ac:dyDescent="0.2">
      <c r="A33" s="68">
        <v>46085</v>
      </c>
      <c r="B33" s="55"/>
      <c r="C33" s="56"/>
      <c r="D33" s="57"/>
      <c r="E33" s="58"/>
      <c r="F33" s="60"/>
      <c r="G33" s="55">
        <v>9.5</v>
      </c>
      <c r="H33" s="59"/>
      <c r="I33" s="57">
        <v>0</v>
      </c>
      <c r="J33" s="60"/>
      <c r="K33" s="60"/>
      <c r="L33" s="61"/>
      <c r="M33" s="58"/>
      <c r="N33" s="58"/>
      <c r="O33" s="58"/>
      <c r="P33" s="60"/>
      <c r="Q33" s="61"/>
      <c r="R33" s="58"/>
      <c r="S33" s="58"/>
      <c r="T33" s="58"/>
      <c r="U33" s="58"/>
      <c r="V33" s="64">
        <v>9</v>
      </c>
      <c r="W33" s="63">
        <v>0</v>
      </c>
      <c r="X33" s="63"/>
      <c r="Z33" s="55"/>
      <c r="AA33" s="57"/>
      <c r="AD33" s="64"/>
      <c r="AE33" s="63"/>
      <c r="AF33" s="63"/>
    </row>
    <row r="34" spans="1:32" x14ac:dyDescent="0.2">
      <c r="A34" s="68">
        <v>46086</v>
      </c>
      <c r="B34" s="55"/>
      <c r="C34" s="56"/>
      <c r="D34" s="57"/>
      <c r="E34" s="58"/>
      <c r="F34" s="60"/>
      <c r="G34" s="55">
        <v>6.5</v>
      </c>
      <c r="H34" s="59"/>
      <c r="I34" s="57">
        <v>294</v>
      </c>
      <c r="J34" s="58"/>
      <c r="K34" s="60"/>
      <c r="L34" s="61">
        <v>5.5</v>
      </c>
      <c r="M34" s="58"/>
      <c r="N34" s="58">
        <v>434</v>
      </c>
      <c r="Q34" s="61"/>
      <c r="R34" s="58"/>
      <c r="V34" s="62">
        <v>9</v>
      </c>
      <c r="W34" s="63">
        <v>959</v>
      </c>
      <c r="Z34" s="55"/>
      <c r="AA34" s="57"/>
      <c r="AD34" s="62"/>
      <c r="AE34" s="63"/>
    </row>
    <row r="35" spans="1:32" x14ac:dyDescent="0.2">
      <c r="A35" s="68">
        <v>46087</v>
      </c>
      <c r="B35" s="55"/>
      <c r="C35" s="56"/>
      <c r="D35" s="57"/>
      <c r="E35" s="58"/>
      <c r="F35" s="60"/>
      <c r="G35" s="55">
        <v>12</v>
      </c>
      <c r="H35" s="59"/>
      <c r="I35" s="57">
        <v>0</v>
      </c>
      <c r="J35" s="60"/>
      <c r="K35" s="60"/>
      <c r="L35" s="61"/>
      <c r="M35" s="58"/>
      <c r="N35" s="58"/>
      <c r="Q35" s="61"/>
      <c r="R35" s="58">
        <v>260</v>
      </c>
      <c r="S35" s="56"/>
      <c r="V35" s="62">
        <v>9</v>
      </c>
      <c r="W35" s="63">
        <v>455</v>
      </c>
      <c r="X35" s="63"/>
      <c r="Z35" s="55"/>
      <c r="AA35" s="57"/>
      <c r="AD35" s="62"/>
      <c r="AE35" s="63"/>
      <c r="AF35" s="63"/>
    </row>
    <row r="36" spans="1:32" x14ac:dyDescent="0.2">
      <c r="A36" s="68">
        <v>46088</v>
      </c>
      <c r="B36" s="55"/>
      <c r="C36" s="56"/>
      <c r="E36" s="57"/>
      <c r="F36" s="60"/>
      <c r="G36" s="55"/>
      <c r="H36" s="59"/>
      <c r="I36" s="57"/>
      <c r="J36" s="60"/>
      <c r="K36" s="60"/>
      <c r="L36" s="61">
        <v>11.5</v>
      </c>
      <c r="M36" s="58"/>
      <c r="N36" s="58">
        <v>618</v>
      </c>
      <c r="Q36" s="61"/>
      <c r="R36" s="58">
        <v>98</v>
      </c>
      <c r="S36" s="58"/>
      <c r="V36" s="62"/>
      <c r="W36" s="58"/>
      <c r="Z36" s="55"/>
      <c r="AA36" s="57"/>
      <c r="AD36" s="62"/>
      <c r="AE36" s="58"/>
    </row>
    <row r="37" spans="1:32" x14ac:dyDescent="0.2">
      <c r="A37" s="68">
        <v>46089</v>
      </c>
      <c r="B37" s="55"/>
      <c r="C37" s="56"/>
      <c r="D37" s="57"/>
      <c r="E37" s="58"/>
      <c r="F37" s="60"/>
      <c r="G37" s="55"/>
      <c r="H37" s="59"/>
      <c r="I37" s="57"/>
      <c r="J37" s="60"/>
      <c r="K37" s="60"/>
      <c r="L37" s="61">
        <v>6.5</v>
      </c>
      <c r="M37" s="58"/>
      <c r="N37" s="58">
        <v>378</v>
      </c>
      <c r="Q37" s="61"/>
      <c r="R37" s="58"/>
      <c r="S37" s="58"/>
      <c r="V37" s="64">
        <v>9</v>
      </c>
      <c r="W37" s="58">
        <v>170</v>
      </c>
      <c r="Z37" s="55"/>
      <c r="AA37" s="57"/>
      <c r="AD37" s="64"/>
      <c r="AE37" s="58"/>
    </row>
    <row r="38" spans="1:32" x14ac:dyDescent="0.2">
      <c r="A38" s="68">
        <v>46090</v>
      </c>
      <c r="B38" s="55"/>
      <c r="C38" s="56"/>
      <c r="D38" s="57"/>
      <c r="E38" s="58"/>
      <c r="F38" s="60"/>
      <c r="G38" s="55">
        <v>7.5</v>
      </c>
      <c r="H38" s="59"/>
      <c r="I38" s="57">
        <v>10</v>
      </c>
      <c r="K38" s="60"/>
      <c r="L38" s="61"/>
      <c r="M38" s="58"/>
      <c r="N38" s="58"/>
      <c r="Q38" s="61"/>
      <c r="R38" s="58"/>
      <c r="S38" s="58"/>
      <c r="V38" s="64">
        <v>9</v>
      </c>
      <c r="W38" s="63">
        <v>1218</v>
      </c>
      <c r="Z38" s="55">
        <v>4.5</v>
      </c>
      <c r="AA38" s="57">
        <v>0</v>
      </c>
      <c r="AD38" s="64"/>
      <c r="AE38" s="63"/>
    </row>
    <row r="39" spans="1:32" ht="15" customHeight="1" x14ac:dyDescent="0.2">
      <c r="A39" s="68">
        <v>46091</v>
      </c>
      <c r="B39" s="55"/>
      <c r="C39" s="56"/>
      <c r="D39" s="57"/>
      <c r="E39" s="58"/>
      <c r="F39" s="60"/>
      <c r="G39" s="55">
        <v>7.5</v>
      </c>
      <c r="H39" s="59"/>
      <c r="I39" s="57">
        <v>10</v>
      </c>
      <c r="J39" s="58"/>
      <c r="K39" s="60"/>
      <c r="L39" s="61"/>
      <c r="M39" s="58"/>
      <c r="N39" s="58"/>
      <c r="Q39" s="61"/>
      <c r="R39" s="58"/>
      <c r="S39" s="58"/>
      <c r="V39" s="62">
        <v>9</v>
      </c>
      <c r="W39" s="58">
        <v>325</v>
      </c>
      <c r="Z39" s="55">
        <v>4.5</v>
      </c>
      <c r="AA39" s="57">
        <v>0</v>
      </c>
      <c r="AD39" s="62"/>
      <c r="AE39" s="58"/>
    </row>
    <row r="40" spans="1:32" x14ac:dyDescent="0.2">
      <c r="A40" s="68">
        <v>46092</v>
      </c>
      <c r="B40" s="55"/>
      <c r="C40" s="56"/>
      <c r="D40" s="57"/>
      <c r="E40" s="58"/>
      <c r="F40" s="60"/>
      <c r="G40" s="55">
        <v>7.5</v>
      </c>
      <c r="H40" s="59"/>
      <c r="I40" s="57">
        <v>0</v>
      </c>
      <c r="J40" s="60"/>
      <c r="K40" s="60"/>
      <c r="L40" s="61"/>
      <c r="M40" s="58"/>
      <c r="N40" s="58"/>
      <c r="Q40" s="61"/>
      <c r="R40" s="58"/>
      <c r="S40" s="58"/>
      <c r="V40" s="62">
        <v>9</v>
      </c>
      <c r="W40" s="63">
        <v>612</v>
      </c>
      <c r="X40" s="58"/>
      <c r="Z40" s="70">
        <v>3.5</v>
      </c>
      <c r="AA40" s="57">
        <v>368</v>
      </c>
      <c r="AD40" s="62"/>
      <c r="AE40" s="63"/>
      <c r="AF40" s="58"/>
    </row>
    <row r="41" spans="1:32" x14ac:dyDescent="0.2">
      <c r="A41" s="68">
        <v>46093</v>
      </c>
      <c r="B41" s="55">
        <v>6</v>
      </c>
      <c r="C41" s="56"/>
      <c r="D41" s="57"/>
      <c r="E41" s="58">
        <v>200</v>
      </c>
      <c r="F41" s="60"/>
      <c r="G41" s="55">
        <v>6</v>
      </c>
      <c r="H41" s="59"/>
      <c r="I41" s="57">
        <v>10</v>
      </c>
      <c r="J41" s="60"/>
      <c r="K41" s="60"/>
      <c r="L41" s="61"/>
      <c r="M41" s="58"/>
      <c r="N41" s="58"/>
      <c r="Q41" s="61"/>
      <c r="R41" s="58"/>
      <c r="S41" s="58"/>
      <c r="V41" s="62">
        <v>9</v>
      </c>
      <c r="W41" s="58">
        <v>420</v>
      </c>
      <c r="Z41" s="55"/>
      <c r="AA41" s="57"/>
      <c r="AD41" s="62"/>
      <c r="AE41" s="58"/>
    </row>
    <row r="42" spans="1:32" x14ac:dyDescent="0.2">
      <c r="A42" s="68">
        <v>46094</v>
      </c>
      <c r="B42" s="55"/>
      <c r="C42" s="56"/>
      <c r="D42" s="57"/>
      <c r="E42" s="58"/>
      <c r="F42" s="60"/>
      <c r="G42" s="55">
        <v>12</v>
      </c>
      <c r="H42" s="59"/>
      <c r="I42" s="57">
        <v>208</v>
      </c>
      <c r="J42" s="60"/>
      <c r="K42" s="60"/>
      <c r="L42" s="61"/>
      <c r="M42" s="58"/>
      <c r="N42" s="58"/>
      <c r="Q42" s="61"/>
      <c r="R42" s="58">
        <v>117</v>
      </c>
      <c r="S42" s="58"/>
      <c r="V42" s="64">
        <v>10</v>
      </c>
      <c r="W42" s="74">
        <v>1508</v>
      </c>
      <c r="Z42" s="55"/>
      <c r="AA42" s="57"/>
      <c r="AD42" s="64"/>
      <c r="AE42" s="58"/>
    </row>
    <row r="43" spans="1:32" x14ac:dyDescent="0.2">
      <c r="A43" s="68">
        <v>46095</v>
      </c>
      <c r="B43" s="55">
        <v>12</v>
      </c>
      <c r="C43" s="56"/>
      <c r="D43" s="57">
        <v>154</v>
      </c>
      <c r="E43" s="58"/>
      <c r="F43" s="60"/>
      <c r="G43" s="55"/>
      <c r="H43" s="59"/>
      <c r="I43" s="57"/>
      <c r="J43" s="58"/>
      <c r="K43" s="60"/>
      <c r="L43" s="61"/>
      <c r="M43" s="58"/>
      <c r="N43" s="58"/>
      <c r="Q43" s="61"/>
      <c r="R43" s="58"/>
      <c r="S43" s="58"/>
      <c r="V43" s="64">
        <v>10</v>
      </c>
      <c r="W43" s="63">
        <v>1284</v>
      </c>
      <c r="Z43" s="55"/>
      <c r="AA43" s="57"/>
      <c r="AD43" s="64"/>
      <c r="AE43" s="63"/>
    </row>
    <row r="44" spans="1:32" x14ac:dyDescent="0.2">
      <c r="A44" s="68">
        <v>46096</v>
      </c>
      <c r="B44" s="55"/>
      <c r="C44" s="56"/>
      <c r="D44" s="57"/>
      <c r="E44" s="58"/>
      <c r="F44" s="60"/>
      <c r="G44" s="55"/>
      <c r="H44" s="59"/>
      <c r="I44" s="57"/>
      <c r="J44" s="58"/>
      <c r="K44" s="60"/>
      <c r="L44" s="61">
        <v>10</v>
      </c>
      <c r="M44" s="58">
        <v>0</v>
      </c>
      <c r="N44" s="58"/>
      <c r="O44" s="58"/>
      <c r="Q44" s="61"/>
      <c r="R44" s="58"/>
      <c r="S44" s="58"/>
      <c r="V44" s="64"/>
      <c r="W44" s="58"/>
      <c r="X44" s="63"/>
      <c r="Z44" s="55"/>
      <c r="AA44" s="57"/>
      <c r="AD44" s="64"/>
      <c r="AE44" s="58"/>
      <c r="AF44" s="63"/>
    </row>
    <row r="45" spans="1:32" x14ac:dyDescent="0.2">
      <c r="A45" s="68">
        <v>46097</v>
      </c>
      <c r="B45" s="55"/>
      <c r="C45" s="56"/>
      <c r="D45" s="57"/>
      <c r="E45" s="58"/>
      <c r="F45" s="60"/>
      <c r="G45" s="55">
        <v>7.5</v>
      </c>
      <c r="H45" s="59"/>
      <c r="I45" s="57">
        <v>0</v>
      </c>
      <c r="J45" s="60"/>
      <c r="K45" s="60"/>
      <c r="L45" s="61"/>
      <c r="M45" s="58"/>
      <c r="N45" s="57"/>
      <c r="O45" s="58"/>
      <c r="Q45" s="61"/>
      <c r="R45" s="58"/>
      <c r="S45" s="58"/>
      <c r="T45" s="58"/>
      <c r="V45" s="64"/>
      <c r="W45" s="63"/>
      <c r="Z45" s="55">
        <v>4.5</v>
      </c>
      <c r="AA45" s="57">
        <v>0</v>
      </c>
      <c r="AD45" s="64"/>
      <c r="AE45" s="63"/>
    </row>
    <row r="46" spans="1:32" x14ac:dyDescent="0.2">
      <c r="A46" s="68">
        <v>46098</v>
      </c>
      <c r="B46" s="55"/>
      <c r="C46" s="56"/>
      <c r="D46" s="57"/>
      <c r="E46" s="58"/>
      <c r="F46" s="60"/>
      <c r="G46" s="55"/>
      <c r="H46" s="59"/>
      <c r="I46" s="57"/>
      <c r="J46" s="58"/>
      <c r="K46" s="60"/>
      <c r="L46" s="61">
        <v>9</v>
      </c>
      <c r="M46" s="58">
        <v>0</v>
      </c>
      <c r="N46" s="58"/>
      <c r="Q46" s="61"/>
      <c r="R46" s="58"/>
      <c r="S46" s="58"/>
      <c r="V46" s="65"/>
      <c r="Z46" s="55"/>
      <c r="AA46" s="57"/>
      <c r="AD46" s="65"/>
    </row>
    <row r="47" spans="1:32" x14ac:dyDescent="0.2">
      <c r="A47" s="68">
        <v>46099</v>
      </c>
      <c r="B47" s="55"/>
      <c r="C47" s="56"/>
      <c r="D47" s="57"/>
      <c r="E47" s="58"/>
      <c r="F47" s="60"/>
      <c r="G47" s="55">
        <v>7.5</v>
      </c>
      <c r="H47" s="59"/>
      <c r="I47" s="57">
        <v>80</v>
      </c>
      <c r="J47" s="60"/>
      <c r="K47" s="60"/>
      <c r="L47" s="61"/>
      <c r="M47" s="58"/>
      <c r="N47" s="58"/>
      <c r="Q47" s="61"/>
      <c r="R47" s="58">
        <v>154</v>
      </c>
      <c r="S47" s="58"/>
      <c r="V47" s="64"/>
      <c r="W47" s="58"/>
      <c r="X47" s="63"/>
      <c r="Z47" s="55">
        <v>4.5</v>
      </c>
      <c r="AA47" s="57">
        <v>0</v>
      </c>
      <c r="AD47" s="64"/>
      <c r="AE47" s="58"/>
      <c r="AF47" s="63"/>
    </row>
    <row r="48" spans="1:32" x14ac:dyDescent="0.2">
      <c r="A48" s="68">
        <v>46100</v>
      </c>
      <c r="B48" s="55"/>
      <c r="C48" s="56"/>
      <c r="D48" s="57"/>
      <c r="E48" s="58"/>
      <c r="F48" s="60"/>
      <c r="G48" s="55">
        <v>8.5</v>
      </c>
      <c r="H48" s="59"/>
      <c r="I48" s="57">
        <v>315</v>
      </c>
      <c r="J48" s="58"/>
      <c r="K48" s="60"/>
      <c r="L48" s="61">
        <v>9</v>
      </c>
      <c r="M48" s="58">
        <v>258</v>
      </c>
      <c r="N48" s="58"/>
      <c r="Q48" s="61"/>
      <c r="R48" s="58"/>
      <c r="V48" s="64"/>
      <c r="W48" s="58"/>
      <c r="Z48" s="55"/>
      <c r="AA48" s="57"/>
      <c r="AD48" s="64"/>
      <c r="AE48" s="58"/>
    </row>
    <row r="49" spans="1:32" x14ac:dyDescent="0.2">
      <c r="A49" s="68">
        <v>46101</v>
      </c>
      <c r="B49" s="55">
        <v>6</v>
      </c>
      <c r="C49" s="56"/>
      <c r="D49" s="57">
        <v>140</v>
      </c>
      <c r="E49" s="58"/>
      <c r="F49" s="60"/>
      <c r="G49" s="55">
        <v>6</v>
      </c>
      <c r="H49" s="59"/>
      <c r="I49" s="57">
        <v>0</v>
      </c>
      <c r="J49" s="60"/>
      <c r="K49" s="60"/>
      <c r="L49" s="61"/>
      <c r="M49" s="58"/>
      <c r="N49" s="58"/>
      <c r="S49" s="58"/>
      <c r="V49" s="66"/>
      <c r="W49" s="58"/>
      <c r="Z49" s="55"/>
      <c r="AA49" s="57"/>
      <c r="AD49" s="66"/>
      <c r="AE49" s="58"/>
    </row>
    <row r="50" spans="1:32" x14ac:dyDescent="0.2">
      <c r="A50" s="68">
        <v>46102</v>
      </c>
      <c r="B50" s="55">
        <v>12</v>
      </c>
      <c r="C50" s="56"/>
      <c r="D50" s="57">
        <v>908</v>
      </c>
      <c r="E50" s="58"/>
      <c r="F50" s="60"/>
      <c r="G50" s="55">
        <v>9.5</v>
      </c>
      <c r="H50" s="59">
        <v>80</v>
      </c>
      <c r="I50" s="57"/>
      <c r="J50" s="60"/>
      <c r="K50" s="60"/>
      <c r="L50" s="61"/>
      <c r="M50" s="58"/>
      <c r="N50" s="58"/>
      <c r="S50" s="58"/>
      <c r="V50" s="66"/>
      <c r="W50" s="58"/>
      <c r="Z50" s="55"/>
      <c r="AA50" s="57"/>
      <c r="AD50" s="66"/>
      <c r="AE50" s="58"/>
    </row>
    <row r="51" spans="1:32" x14ac:dyDescent="0.2">
      <c r="A51" s="68">
        <v>46103</v>
      </c>
      <c r="B51" s="55"/>
      <c r="C51" s="56"/>
      <c r="D51" s="57"/>
      <c r="E51" s="58"/>
      <c r="F51" s="60"/>
      <c r="G51" s="55"/>
      <c r="H51" s="59"/>
      <c r="I51" s="57"/>
      <c r="J51" s="58"/>
      <c r="K51" s="60"/>
      <c r="L51" s="61">
        <v>7</v>
      </c>
      <c r="M51" s="58"/>
      <c r="N51" s="58">
        <v>470</v>
      </c>
      <c r="O51" s="58"/>
      <c r="S51" s="58"/>
      <c r="T51" s="58"/>
      <c r="U51" s="58"/>
      <c r="V51" s="66"/>
      <c r="W51" s="58"/>
      <c r="X51" s="58"/>
      <c r="Z51" s="55"/>
      <c r="AA51" s="57"/>
      <c r="AD51" s="66"/>
      <c r="AE51" s="58"/>
      <c r="AF51" s="58"/>
    </row>
    <row r="52" spans="1:32" x14ac:dyDescent="0.2">
      <c r="A52" s="68">
        <v>46104</v>
      </c>
      <c r="B52" s="55"/>
      <c r="C52" s="56"/>
      <c r="D52" s="57"/>
      <c r="E52" s="58"/>
      <c r="F52" s="60"/>
      <c r="G52" s="55">
        <v>7.5</v>
      </c>
      <c r="H52" s="59"/>
      <c r="I52" s="57">
        <v>0</v>
      </c>
      <c r="J52" s="58"/>
      <c r="K52" s="60"/>
      <c r="L52" s="61"/>
      <c r="M52" s="58"/>
      <c r="N52" s="57"/>
      <c r="R52" s="57">
        <v>278</v>
      </c>
      <c r="S52" s="58"/>
      <c r="V52" s="66"/>
      <c r="W52" s="58"/>
      <c r="Z52" s="55">
        <v>4.5</v>
      </c>
      <c r="AA52" s="57">
        <v>0</v>
      </c>
      <c r="AD52" s="66"/>
      <c r="AE52" s="58"/>
    </row>
    <row r="53" spans="1:32" x14ac:dyDescent="0.2">
      <c r="A53" s="68">
        <v>46105</v>
      </c>
      <c r="B53" s="55">
        <v>12</v>
      </c>
      <c r="C53" s="56"/>
      <c r="D53" s="57">
        <v>1350</v>
      </c>
      <c r="E53" s="58">
        <v>10</v>
      </c>
      <c r="F53" s="60"/>
      <c r="G53" s="55"/>
      <c r="H53" s="59"/>
      <c r="I53" s="57"/>
      <c r="J53" s="60"/>
      <c r="K53" s="60"/>
      <c r="L53" s="61"/>
      <c r="M53" s="58"/>
      <c r="N53" s="58"/>
      <c r="O53" s="18"/>
      <c r="T53" s="18"/>
      <c r="U53" s="18"/>
      <c r="V53" s="66">
        <v>9</v>
      </c>
      <c r="W53" s="58">
        <v>480</v>
      </c>
      <c r="Z53" s="55"/>
      <c r="AA53" s="57"/>
      <c r="AD53" s="66"/>
      <c r="AE53" s="58"/>
    </row>
    <row r="54" spans="1:32" x14ac:dyDescent="0.2">
      <c r="A54" s="68">
        <v>46106</v>
      </c>
      <c r="B54" s="55"/>
      <c r="C54" s="56"/>
      <c r="D54" s="57"/>
      <c r="E54" s="58"/>
      <c r="F54" s="60"/>
      <c r="G54" s="55">
        <v>7.5</v>
      </c>
      <c r="H54" s="59"/>
      <c r="I54" s="57">
        <v>0</v>
      </c>
      <c r="J54" s="60"/>
      <c r="K54" s="60"/>
      <c r="L54" s="61"/>
      <c r="M54" s="58"/>
      <c r="N54" s="58"/>
      <c r="O54" s="58"/>
      <c r="S54" s="58"/>
      <c r="V54" s="66">
        <v>9</v>
      </c>
      <c r="W54" s="58">
        <v>750</v>
      </c>
      <c r="X54" s="58"/>
      <c r="Z54" s="55">
        <v>4.5</v>
      </c>
      <c r="AA54" s="57">
        <v>240</v>
      </c>
      <c r="AD54" s="66"/>
      <c r="AE54" s="58"/>
    </row>
    <row r="55" spans="1:32" x14ac:dyDescent="0.2">
      <c r="A55" s="68">
        <v>46107</v>
      </c>
      <c r="B55" s="55"/>
      <c r="C55" s="56"/>
      <c r="D55" s="57"/>
      <c r="E55" s="58"/>
      <c r="F55" s="60"/>
      <c r="G55" s="55">
        <v>6.5</v>
      </c>
      <c r="H55" s="59"/>
      <c r="I55" s="57">
        <v>0</v>
      </c>
      <c r="J55" s="60"/>
      <c r="K55" s="60"/>
      <c r="L55" s="61">
        <v>5.5</v>
      </c>
      <c r="M55" s="58"/>
      <c r="N55" s="58">
        <v>0</v>
      </c>
      <c r="S55" s="58"/>
      <c r="V55" s="66">
        <v>9</v>
      </c>
      <c r="W55" s="58">
        <v>660</v>
      </c>
      <c r="Z55" s="55"/>
      <c r="AA55" s="57"/>
      <c r="AB55" s="57"/>
      <c r="AD55" s="66"/>
      <c r="AE55" s="58"/>
    </row>
    <row r="56" spans="1:32" x14ac:dyDescent="0.2">
      <c r="A56" s="68">
        <v>46108</v>
      </c>
      <c r="B56" s="55"/>
      <c r="C56" s="56"/>
      <c r="D56" s="57"/>
      <c r="E56" s="58"/>
      <c r="F56" s="60"/>
      <c r="G56" s="55">
        <v>12.5</v>
      </c>
      <c r="H56" s="59"/>
      <c r="I56" s="57">
        <v>0</v>
      </c>
      <c r="J56" s="67"/>
      <c r="K56" s="60"/>
      <c r="L56" s="61"/>
      <c r="M56" s="58"/>
      <c r="N56" s="58"/>
      <c r="S56" s="58"/>
      <c r="V56" s="66">
        <v>9</v>
      </c>
      <c r="W56" s="58">
        <v>80</v>
      </c>
      <c r="X56" s="58"/>
      <c r="Z56" s="55"/>
      <c r="AA56" s="57"/>
      <c r="AD56" s="66"/>
      <c r="AE56" s="58"/>
    </row>
    <row r="57" spans="1:32" x14ac:dyDescent="0.2">
      <c r="A57" s="68">
        <v>46109</v>
      </c>
      <c r="B57" s="55">
        <v>12</v>
      </c>
      <c r="C57" s="56"/>
      <c r="D57" s="57">
        <v>1307</v>
      </c>
      <c r="E57" s="58"/>
      <c r="F57" s="60"/>
      <c r="G57" s="55"/>
      <c r="H57" s="59"/>
      <c r="I57" s="57"/>
      <c r="J57" s="60"/>
      <c r="K57" s="60"/>
      <c r="L57" s="61">
        <v>9</v>
      </c>
      <c r="M57" s="58">
        <v>260</v>
      </c>
      <c r="N57" s="58"/>
      <c r="O57" s="58"/>
      <c r="R57" s="58"/>
      <c r="V57" s="66"/>
      <c r="W57" s="58"/>
      <c r="Z57" s="55"/>
      <c r="AA57" s="57"/>
      <c r="AD57" s="66"/>
      <c r="AE57" s="58"/>
    </row>
    <row r="58" spans="1:32" x14ac:dyDescent="0.2">
      <c r="A58" s="68">
        <v>46110</v>
      </c>
      <c r="B58" s="55"/>
      <c r="C58" s="56"/>
      <c r="D58" s="57"/>
      <c r="E58" s="58"/>
      <c r="F58" s="60"/>
      <c r="G58" s="55"/>
      <c r="H58" s="59"/>
      <c r="I58" s="57"/>
      <c r="J58" s="60"/>
      <c r="K58" s="60"/>
      <c r="L58" s="66">
        <v>5.5</v>
      </c>
      <c r="M58" s="58"/>
      <c r="N58" s="58">
        <v>568</v>
      </c>
      <c r="S58" s="58"/>
      <c r="V58" s="66">
        <v>9</v>
      </c>
      <c r="W58" s="58">
        <v>0</v>
      </c>
      <c r="Z58" s="55">
        <v>6</v>
      </c>
      <c r="AA58" s="57">
        <v>0</v>
      </c>
      <c r="AD58" s="66"/>
      <c r="AE58" s="58"/>
    </row>
    <row r="59" spans="1:32" x14ac:dyDescent="0.2">
      <c r="A59" s="68">
        <v>46111</v>
      </c>
      <c r="B59" s="55">
        <v>8</v>
      </c>
      <c r="C59" s="56"/>
      <c r="D59" s="57">
        <v>476</v>
      </c>
      <c r="H59"/>
      <c r="V59" s="66">
        <v>9</v>
      </c>
      <c r="W59" s="58">
        <v>150</v>
      </c>
      <c r="Z59" s="55">
        <v>3.5</v>
      </c>
      <c r="AA59" s="57">
        <v>0</v>
      </c>
      <c r="AD59" s="66"/>
      <c r="AE59" s="58"/>
    </row>
    <row r="60" spans="1:32" x14ac:dyDescent="0.2">
      <c r="A60" s="68">
        <v>46112</v>
      </c>
      <c r="B60" s="61">
        <v>12</v>
      </c>
      <c r="C60" s="58"/>
      <c r="D60" s="58">
        <v>448</v>
      </c>
      <c r="E60" s="58"/>
      <c r="F60" s="60"/>
      <c r="G60" s="61"/>
      <c r="H60" s="59"/>
      <c r="I60" s="58"/>
      <c r="J60" s="60"/>
      <c r="K60" s="60"/>
      <c r="L60" s="66"/>
      <c r="M60" s="58"/>
      <c r="N60" s="58"/>
      <c r="Q60" s="66"/>
      <c r="R60" s="58"/>
      <c r="S60" s="58"/>
      <c r="V60" s="64">
        <v>9</v>
      </c>
      <c r="W60" s="58">
        <v>0</v>
      </c>
      <c r="Z60" s="55"/>
      <c r="AA60" s="57"/>
      <c r="AD60" s="64"/>
      <c r="AE60" s="58"/>
    </row>
    <row r="61" spans="1:32" x14ac:dyDescent="0.2">
      <c r="AA61" s="57"/>
    </row>
  </sheetData>
  <pageMargins left="0.7" right="0.7" top="0.75" bottom="0.75" header="0.3" footer="0.3"/>
  <pageSetup scale="0" firstPageNumber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 2026</vt:lpstr>
      <vt:lpstr>Feb 2026</vt:lpstr>
      <vt:lpstr>March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Gladis Heng</dc:creator>
  <cp:lastModifiedBy>Gladis Heng</cp:lastModifiedBy>
  <dcterms:created xsi:type="dcterms:W3CDTF">2026-01-31T15:55:01Z</dcterms:created>
  <dcterms:modified xsi:type="dcterms:W3CDTF">2026-04-02T05:14:58Z</dcterms:modified>
</cp:coreProperties>
</file>