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0f622c6ab3695e/Desktop/"/>
    </mc:Choice>
  </mc:AlternateContent>
  <xr:revisionPtr revIDLastSave="0" documentId="8_{DEE4B474-C947-46EA-B4A0-75F7F0C42C9B}" xr6:coauthVersionLast="47" xr6:coauthVersionMax="47" xr10:uidLastSave="{00000000-0000-0000-0000-000000000000}"/>
  <bookViews>
    <workbookView xWindow="-110" yWindow="-110" windowWidth="19420" windowHeight="10300" firstSheet="5" activeTab="10" xr2:uid="{3B7FEB32-779D-41C3-91CE-46572AAA0C7C}"/>
  </bookViews>
  <sheets>
    <sheet name="Jan 2025" sheetId="1" r:id="rId1"/>
    <sheet name="Feb 2025" sheetId="2" r:id="rId2"/>
    <sheet name="March 2025" sheetId="3" r:id="rId3"/>
    <sheet name="April 2025" sheetId="4" r:id="rId4"/>
    <sheet name="May 2025" sheetId="5" r:id="rId5"/>
    <sheet name="June 2025" sheetId="6" r:id="rId6"/>
    <sheet name="Aug 2025" sheetId="8" r:id="rId7"/>
    <sheet name="Sep 2025" sheetId="9" r:id="rId8"/>
    <sheet name="Oct 2025" sheetId="10" r:id="rId9"/>
    <sheet name="Nov 2025" sheetId="11" r:id="rId10"/>
    <sheet name="Dec 2025" sheetId="12" r:id="rId11"/>
    <sheet name="Sheet3" sheetId="13" r:id="rId12"/>
    <sheet name="July 2025" sheetId="7" r:id="rId13"/>
  </sheets>
  <definedNames>
    <definedName name="_xlnm._FilterDatabase" localSheetId="6" hidden="1">'Aug 2025'!$V$42:$W$43</definedName>
    <definedName name="_xlnm._FilterDatabase" localSheetId="8" hidden="1">'Oct 2025'!$A$29:$J$59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2" l="1"/>
  <c r="B5" i="12"/>
  <c r="C17" i="12"/>
  <c r="W17" i="12"/>
  <c r="AB17" i="12"/>
  <c r="R17" i="12"/>
  <c r="R21" i="12" s="1"/>
  <c r="M17" i="12"/>
  <c r="H17" i="12"/>
  <c r="AA16" i="12"/>
  <c r="AA17" i="12" s="1"/>
  <c r="AA21" i="12" s="1"/>
  <c r="Q16" i="12"/>
  <c r="L16" i="12"/>
  <c r="G16" i="12"/>
  <c r="B16" i="12"/>
  <c r="B17" i="12" s="1"/>
  <c r="V15" i="12"/>
  <c r="V17" i="12" s="1"/>
  <c r="V21" i="12" s="1"/>
  <c r="Q15" i="12"/>
  <c r="L15" i="12"/>
  <c r="G15" i="12"/>
  <c r="B15" i="12"/>
  <c r="AA14" i="12"/>
  <c r="AA20" i="12" s="1"/>
  <c r="V14" i="12"/>
  <c r="V20" i="12" s="1"/>
  <c r="Q14" i="12"/>
  <c r="L14" i="12"/>
  <c r="L20" i="12" s="1"/>
  <c r="G14" i="12"/>
  <c r="G20" i="12" s="1"/>
  <c r="B14" i="12"/>
  <c r="B20" i="12" s="1"/>
  <c r="L17" i="11"/>
  <c r="G17" i="11"/>
  <c r="B17" i="11"/>
  <c r="C7" i="11"/>
  <c r="B7" i="11"/>
  <c r="AI17" i="11"/>
  <c r="Z20" i="11"/>
  <c r="AA17" i="11"/>
  <c r="L16" i="11"/>
  <c r="L15" i="11"/>
  <c r="G21" i="11"/>
  <c r="L17" i="8"/>
  <c r="L22" i="8"/>
  <c r="L20" i="8"/>
  <c r="L21" i="8"/>
  <c r="AD20" i="11"/>
  <c r="AE17" i="11"/>
  <c r="W17" i="11"/>
  <c r="R17" i="11"/>
  <c r="R21" i="11" s="1"/>
  <c r="M17" i="11"/>
  <c r="H17" i="11"/>
  <c r="AH16" i="11"/>
  <c r="AH17" i="11" s="1"/>
  <c r="AH21" i="11" s="1"/>
  <c r="Q16" i="11"/>
  <c r="Q17" i="11" s="1"/>
  <c r="G16" i="11"/>
  <c r="B16" i="11"/>
  <c r="B21" i="11" s="1"/>
  <c r="AD15" i="11"/>
  <c r="AD17" i="11" s="1"/>
  <c r="AD21" i="11" s="1"/>
  <c r="Z15" i="11"/>
  <c r="Z17" i="11" s="1"/>
  <c r="Z21" i="11" s="1"/>
  <c r="V15" i="11"/>
  <c r="V17" i="11" s="1"/>
  <c r="V21" i="11" s="1"/>
  <c r="Q15" i="11"/>
  <c r="G15" i="11"/>
  <c r="B15" i="11"/>
  <c r="AH14" i="11"/>
  <c r="AH20" i="11" s="1"/>
  <c r="AD14" i="11"/>
  <c r="Z14" i="11"/>
  <c r="V14" i="11"/>
  <c r="V20" i="11" s="1"/>
  <c r="Q14" i="11"/>
  <c r="L14" i="11"/>
  <c r="L20" i="11" s="1"/>
  <c r="G14" i="11"/>
  <c r="G20" i="11" s="1"/>
  <c r="B14" i="11"/>
  <c r="B20" i="11" s="1"/>
  <c r="B6" i="10"/>
  <c r="B5" i="10"/>
  <c r="AH16" i="10"/>
  <c r="AH17" i="10"/>
  <c r="AH21" i="10" s="1"/>
  <c r="G16" i="10"/>
  <c r="Z21" i="10"/>
  <c r="AI17" i="10"/>
  <c r="AH14" i="10"/>
  <c r="AH20" i="10" s="1"/>
  <c r="G14" i="10"/>
  <c r="G20" i="10" s="1"/>
  <c r="B16" i="10"/>
  <c r="AD14" i="10"/>
  <c r="AD20" i="10" s="1"/>
  <c r="AD15" i="10"/>
  <c r="AD17" i="10"/>
  <c r="AD21" i="10" s="1"/>
  <c r="Z14" i="10"/>
  <c r="Z20" i="10" s="1"/>
  <c r="Z15" i="10"/>
  <c r="Z17" i="10" s="1"/>
  <c r="V14" i="10"/>
  <c r="V20" i="10" s="1"/>
  <c r="V15" i="10"/>
  <c r="V17" i="10" s="1"/>
  <c r="V21" i="10" s="1"/>
  <c r="L14" i="10"/>
  <c r="L20" i="10" s="1"/>
  <c r="L15" i="10"/>
  <c r="L16" i="10"/>
  <c r="M17" i="10"/>
  <c r="G15" i="10"/>
  <c r="H17" i="10"/>
  <c r="B14" i="10"/>
  <c r="B20" i="10"/>
  <c r="B15" i="10"/>
  <c r="B17" i="10"/>
  <c r="B21" i="10"/>
  <c r="B22" i="10"/>
  <c r="B27" i="10"/>
  <c r="R17" i="10"/>
  <c r="R21" i="10"/>
  <c r="AE17" i="10"/>
  <c r="AA17" i="10"/>
  <c r="W17" i="10"/>
  <c r="Q15" i="10"/>
  <c r="Q16" i="10"/>
  <c r="Q17" i="10"/>
  <c r="C17" i="10"/>
  <c r="Q14" i="10"/>
  <c r="C7" i="10"/>
  <c r="B15" i="9"/>
  <c r="G15" i="9"/>
  <c r="L15" i="9"/>
  <c r="Q15" i="9"/>
  <c r="V15" i="9"/>
  <c r="Z15" i="9"/>
  <c r="AD15" i="9"/>
  <c r="B5" i="9"/>
  <c r="B14" i="9"/>
  <c r="B20" i="9"/>
  <c r="B16" i="9"/>
  <c r="G14" i="9"/>
  <c r="L14" i="9"/>
  <c r="Q14" i="9"/>
  <c r="V14" i="9"/>
  <c r="Z14" i="9"/>
  <c r="AD14" i="9"/>
  <c r="G16" i="9"/>
  <c r="L16" i="9"/>
  <c r="Q16" i="9"/>
  <c r="B17" i="9"/>
  <c r="C17" i="9"/>
  <c r="H17" i="9"/>
  <c r="G17" i="9"/>
  <c r="M17" i="9"/>
  <c r="L17" i="9"/>
  <c r="R17" i="9"/>
  <c r="Q17" i="9"/>
  <c r="V17" i="9"/>
  <c r="W17" i="9"/>
  <c r="Z17" i="9"/>
  <c r="AA17" i="9"/>
  <c r="AD17" i="9"/>
  <c r="AE17" i="9"/>
  <c r="G20" i="9"/>
  <c r="L20" i="9"/>
  <c r="V20" i="9"/>
  <c r="Z20" i="9"/>
  <c r="AD20" i="9"/>
  <c r="B21" i="9"/>
  <c r="G21" i="9"/>
  <c r="L21" i="9"/>
  <c r="R21" i="9"/>
  <c r="V21" i="9"/>
  <c r="Z21" i="9"/>
  <c r="AD21" i="9"/>
  <c r="B22" i="9"/>
  <c r="G22" i="9"/>
  <c r="L22" i="9"/>
  <c r="V22" i="9"/>
  <c r="Z22" i="9"/>
  <c r="AD22" i="9"/>
  <c r="B27" i="9"/>
  <c r="G27" i="9"/>
  <c r="L27" i="9"/>
  <c r="V27" i="9"/>
  <c r="Z27" i="9"/>
  <c r="AD27" i="9"/>
  <c r="B8" i="9"/>
  <c r="B10" i="9"/>
  <c r="B4" i="9"/>
  <c r="B6" i="9"/>
  <c r="C7" i="9"/>
  <c r="B7" i="9"/>
  <c r="V15" i="8"/>
  <c r="B15" i="8"/>
  <c r="G15" i="8"/>
  <c r="L15" i="8"/>
  <c r="Q15" i="8"/>
  <c r="Z15" i="8"/>
  <c r="Z17" i="8"/>
  <c r="Z21" i="8"/>
  <c r="Z22" i="8"/>
  <c r="Z27" i="8"/>
  <c r="AD15" i="8"/>
  <c r="B5" i="8"/>
  <c r="B16" i="8"/>
  <c r="G16" i="8"/>
  <c r="B6" i="8"/>
  <c r="B7" i="8"/>
  <c r="AD17" i="8"/>
  <c r="AD21" i="8"/>
  <c r="AD14" i="8"/>
  <c r="AD20" i="8"/>
  <c r="AE17" i="8"/>
  <c r="AA17" i="8"/>
  <c r="W17" i="8"/>
  <c r="R17" i="8"/>
  <c r="R21" i="8"/>
  <c r="M17" i="8"/>
  <c r="H17" i="8"/>
  <c r="C17" i="8"/>
  <c r="Q16" i="8"/>
  <c r="L16" i="8"/>
  <c r="G17" i="8"/>
  <c r="G21" i="8"/>
  <c r="V17" i="8"/>
  <c r="V21" i="8"/>
  <c r="Z14" i="8"/>
  <c r="Z20" i="8"/>
  <c r="V14" i="8"/>
  <c r="V20" i="8"/>
  <c r="Q14" i="8"/>
  <c r="L14" i="8"/>
  <c r="G14" i="8"/>
  <c r="G20" i="8"/>
  <c r="B14" i="8"/>
  <c r="B20" i="8"/>
  <c r="AA16" i="7"/>
  <c r="AA20" i="7"/>
  <c r="W16" i="7"/>
  <c r="W20" i="7"/>
  <c r="R16" i="7"/>
  <c r="R20" i="7"/>
  <c r="M16" i="7"/>
  <c r="M20" i="7"/>
  <c r="H16" i="7"/>
  <c r="H20" i="7"/>
  <c r="C16" i="7"/>
  <c r="C7" i="7"/>
  <c r="Q15" i="7"/>
  <c r="L15" i="7"/>
  <c r="G15" i="7"/>
  <c r="B15" i="7"/>
  <c r="Z14" i="7"/>
  <c r="Z16" i="7"/>
  <c r="Z20" i="7"/>
  <c r="V14" i="7"/>
  <c r="V16" i="7"/>
  <c r="Q14" i="7"/>
  <c r="L14" i="7"/>
  <c r="G14" i="7"/>
  <c r="B14" i="7"/>
  <c r="Z13" i="7"/>
  <c r="Z19" i="7"/>
  <c r="V13" i="7"/>
  <c r="V19" i="7"/>
  <c r="Q13" i="7"/>
  <c r="L13" i="7"/>
  <c r="L19" i="7"/>
  <c r="G13" i="7"/>
  <c r="G19" i="7"/>
  <c r="B13" i="7"/>
  <c r="B19" i="7"/>
  <c r="B5" i="6"/>
  <c r="Q14" i="6"/>
  <c r="V20" i="6"/>
  <c r="V19" i="6"/>
  <c r="G15" i="6"/>
  <c r="R16" i="6"/>
  <c r="R20" i="6"/>
  <c r="Q15" i="6"/>
  <c r="Q13" i="6"/>
  <c r="AA16" i="6"/>
  <c r="AA20" i="6"/>
  <c r="W16" i="6"/>
  <c r="W20" i="6"/>
  <c r="M16" i="6"/>
  <c r="M20" i="6"/>
  <c r="Z14" i="6"/>
  <c r="Z16" i="6"/>
  <c r="Z20" i="6"/>
  <c r="Z13" i="6"/>
  <c r="Z19" i="6"/>
  <c r="H16" i="6"/>
  <c r="H20" i="6"/>
  <c r="C16" i="6"/>
  <c r="L15" i="6"/>
  <c r="B15" i="6"/>
  <c r="V14" i="6"/>
  <c r="L14" i="6"/>
  <c r="G14" i="6"/>
  <c r="B14" i="6"/>
  <c r="V13" i="6"/>
  <c r="L13" i="6"/>
  <c r="L19" i="6"/>
  <c r="G13" i="6"/>
  <c r="G19" i="6"/>
  <c r="B13" i="6"/>
  <c r="B19" i="6"/>
  <c r="H16" i="5"/>
  <c r="H20" i="5"/>
  <c r="C16" i="5"/>
  <c r="L16" i="5"/>
  <c r="V15" i="5"/>
  <c r="Q15" i="5"/>
  <c r="R16" i="5"/>
  <c r="R20" i="5"/>
  <c r="M16" i="5"/>
  <c r="M20" i="5"/>
  <c r="L15" i="5"/>
  <c r="G15" i="5"/>
  <c r="B15" i="5"/>
  <c r="V14" i="5"/>
  <c r="Q14" i="5"/>
  <c r="L14" i="5"/>
  <c r="G14" i="5"/>
  <c r="B14" i="5"/>
  <c r="Q13" i="5"/>
  <c r="Q19" i="5"/>
  <c r="L13" i="5"/>
  <c r="L19" i="5"/>
  <c r="G13" i="5"/>
  <c r="G19" i="5"/>
  <c r="B13" i="5"/>
  <c r="AF31" i="4"/>
  <c r="AF32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B8" i="4"/>
  <c r="Z18" i="4"/>
  <c r="Z17" i="4"/>
  <c r="B5" i="4"/>
  <c r="T18" i="4"/>
  <c r="B16" i="4"/>
  <c r="N17" i="4"/>
  <c r="N16" i="4"/>
  <c r="H16" i="4"/>
  <c r="T16" i="4"/>
  <c r="U18" i="4"/>
  <c r="U22" i="4"/>
  <c r="O22" i="4"/>
  <c r="I22" i="4"/>
  <c r="C18" i="4"/>
  <c r="C22" i="4"/>
  <c r="T17" i="4"/>
  <c r="H17" i="4"/>
  <c r="B17" i="4"/>
  <c r="Z15" i="4"/>
  <c r="T15" i="4"/>
  <c r="N15" i="4"/>
  <c r="H15" i="4"/>
  <c r="H18" i="4"/>
  <c r="B15" i="4"/>
  <c r="T14" i="4"/>
  <c r="T21" i="4"/>
  <c r="N14" i="4"/>
  <c r="N21" i="4"/>
  <c r="H14" i="4"/>
  <c r="H21" i="4"/>
  <c r="B14" i="4"/>
  <c r="B21" i="4"/>
  <c r="Q15" i="3"/>
  <c r="V15" i="3"/>
  <c r="B20" i="3"/>
  <c r="L15" i="3"/>
  <c r="B6" i="3"/>
  <c r="R16" i="3"/>
  <c r="R20" i="3"/>
  <c r="M16" i="3"/>
  <c r="H16" i="3"/>
  <c r="H20" i="3"/>
  <c r="C16" i="3"/>
  <c r="C20" i="3"/>
  <c r="G15" i="3"/>
  <c r="B15" i="3"/>
  <c r="V14" i="3"/>
  <c r="Q14" i="3"/>
  <c r="L14" i="3"/>
  <c r="G14" i="3"/>
  <c r="B14" i="3"/>
  <c r="Q13" i="3"/>
  <c r="Q19" i="3"/>
  <c r="L13" i="3"/>
  <c r="L19" i="3"/>
  <c r="G13" i="3"/>
  <c r="G19" i="3"/>
  <c r="B13" i="3"/>
  <c r="B10" i="2"/>
  <c r="B7" i="2"/>
  <c r="B6" i="2"/>
  <c r="B16" i="2"/>
  <c r="R16" i="2"/>
  <c r="R20" i="2"/>
  <c r="M16" i="2"/>
  <c r="M20" i="2"/>
  <c r="H16" i="2"/>
  <c r="H20" i="2"/>
  <c r="C16" i="2"/>
  <c r="C20" i="2"/>
  <c r="U15" i="2"/>
  <c r="Q15" i="2"/>
  <c r="L15" i="2"/>
  <c r="G15" i="2"/>
  <c r="B15" i="2"/>
  <c r="U14" i="2"/>
  <c r="Q14" i="2"/>
  <c r="L14" i="2"/>
  <c r="G14" i="2"/>
  <c r="B14" i="2"/>
  <c r="Q13" i="2"/>
  <c r="Q19" i="2"/>
  <c r="L13" i="2"/>
  <c r="L19" i="2"/>
  <c r="G13" i="2"/>
  <c r="G19" i="2"/>
  <c r="B13" i="2"/>
  <c r="B19" i="2"/>
  <c r="B14" i="1"/>
  <c r="R16" i="1"/>
  <c r="R20" i="1"/>
  <c r="M16" i="1"/>
  <c r="M20" i="1"/>
  <c r="H16" i="1"/>
  <c r="H20" i="1"/>
  <c r="C16" i="1"/>
  <c r="C7" i="1"/>
  <c r="U15" i="1"/>
  <c r="Q15" i="1"/>
  <c r="L15" i="1"/>
  <c r="G15" i="1"/>
  <c r="B15" i="1"/>
  <c r="U14" i="1"/>
  <c r="Q14" i="1"/>
  <c r="Q16" i="1"/>
  <c r="Q20" i="1"/>
  <c r="L14" i="1"/>
  <c r="L16" i="1"/>
  <c r="L20" i="1"/>
  <c r="G14" i="1"/>
  <c r="Q13" i="1"/>
  <c r="Q19" i="1"/>
  <c r="Q21" i="1"/>
  <c r="Q26" i="1"/>
  <c r="L13" i="1"/>
  <c r="L19" i="1"/>
  <c r="G13" i="1"/>
  <c r="G19" i="1"/>
  <c r="B13" i="1"/>
  <c r="B19" i="1"/>
  <c r="G22" i="8"/>
  <c r="G27" i="8"/>
  <c r="L27" i="8"/>
  <c r="C7" i="8"/>
  <c r="B4" i="8"/>
  <c r="AD22" i="8"/>
  <c r="AD27" i="8"/>
  <c r="V22" i="8"/>
  <c r="V27" i="8"/>
  <c r="B17" i="8"/>
  <c r="B21" i="8"/>
  <c r="B5" i="7"/>
  <c r="B6" i="7"/>
  <c r="G16" i="7"/>
  <c r="G20" i="7"/>
  <c r="G21" i="7"/>
  <c r="G26" i="7"/>
  <c r="B16" i="7"/>
  <c r="Z21" i="7"/>
  <c r="Z26" i="7"/>
  <c r="Q16" i="7"/>
  <c r="L16" i="7"/>
  <c r="L20" i="7"/>
  <c r="L21" i="7"/>
  <c r="L26" i="7"/>
  <c r="V20" i="7"/>
  <c r="V21" i="7"/>
  <c r="V26" i="7"/>
  <c r="B4" i="7"/>
  <c r="C20" i="7"/>
  <c r="B20" i="7"/>
  <c r="B21" i="7"/>
  <c r="B6" i="6"/>
  <c r="B4" i="6"/>
  <c r="Z21" i="6"/>
  <c r="Z26" i="6"/>
  <c r="Q16" i="6"/>
  <c r="V16" i="6"/>
  <c r="L16" i="6"/>
  <c r="C7" i="6"/>
  <c r="G16" i="6"/>
  <c r="G20" i="6"/>
  <c r="G21" i="6"/>
  <c r="G26" i="6"/>
  <c r="V21" i="6"/>
  <c r="V26" i="6"/>
  <c r="C20" i="6"/>
  <c r="B16" i="6"/>
  <c r="G16" i="5"/>
  <c r="B16" i="5"/>
  <c r="G20" i="5"/>
  <c r="G21" i="5"/>
  <c r="G26" i="5"/>
  <c r="Q16" i="5"/>
  <c r="Q20" i="5"/>
  <c r="Q21" i="5"/>
  <c r="Q26" i="5"/>
  <c r="V16" i="5"/>
  <c r="B6" i="5"/>
  <c r="C7" i="5"/>
  <c r="B4" i="5"/>
  <c r="C20" i="5"/>
  <c r="B20" i="5"/>
  <c r="B19" i="5"/>
  <c r="B5" i="5"/>
  <c r="B7" i="4"/>
  <c r="B18" i="4"/>
  <c r="B22" i="4"/>
  <c r="B6" i="4"/>
  <c r="N18" i="4"/>
  <c r="N22" i="4"/>
  <c r="N23" i="4"/>
  <c r="N28" i="4"/>
  <c r="T22" i="4"/>
  <c r="T23" i="4"/>
  <c r="T28" i="4"/>
  <c r="H22" i="4"/>
  <c r="H23" i="4"/>
  <c r="H28" i="4"/>
  <c r="B23" i="4"/>
  <c r="C8" i="4"/>
  <c r="B4" i="4"/>
  <c r="V16" i="3"/>
  <c r="L16" i="3"/>
  <c r="L20" i="3"/>
  <c r="L21" i="3"/>
  <c r="L26" i="3"/>
  <c r="G16" i="3"/>
  <c r="G20" i="3"/>
  <c r="G21" i="3"/>
  <c r="G26" i="3"/>
  <c r="B4" i="3"/>
  <c r="C7" i="3"/>
  <c r="B19" i="3"/>
  <c r="B5" i="3"/>
  <c r="Q16" i="3"/>
  <c r="Q20" i="3"/>
  <c r="Q21" i="3"/>
  <c r="Q26" i="3"/>
  <c r="B16" i="3"/>
  <c r="M20" i="3"/>
  <c r="B5" i="2"/>
  <c r="B4" i="2"/>
  <c r="U16" i="2"/>
  <c r="L16" i="2"/>
  <c r="C7" i="2"/>
  <c r="Q16" i="2"/>
  <c r="Q20" i="2"/>
  <c r="Q21" i="2"/>
  <c r="G16" i="2"/>
  <c r="G20" i="2"/>
  <c r="G21" i="2"/>
  <c r="G26" i="2"/>
  <c r="U16" i="1"/>
  <c r="G16" i="1"/>
  <c r="G20" i="1"/>
  <c r="G21" i="1"/>
  <c r="G26" i="1"/>
  <c r="B6" i="1"/>
  <c r="B5" i="1"/>
  <c r="B16" i="1"/>
  <c r="L21" i="1"/>
  <c r="L26" i="1"/>
  <c r="C20" i="1"/>
  <c r="B4" i="1"/>
  <c r="B22" i="8"/>
  <c r="B7" i="7"/>
  <c r="B26" i="7"/>
  <c r="B8" i="7"/>
  <c r="B10" i="7"/>
  <c r="L21" i="6"/>
  <c r="L26" i="6"/>
  <c r="L20" i="6"/>
  <c r="B7" i="6"/>
  <c r="B20" i="6"/>
  <c r="B21" i="6"/>
  <c r="L20" i="5"/>
  <c r="L21" i="5"/>
  <c r="L26" i="5"/>
  <c r="B21" i="5"/>
  <c r="B7" i="5"/>
  <c r="B28" i="4"/>
  <c r="B9" i="4"/>
  <c r="B11" i="4"/>
  <c r="B7" i="3"/>
  <c r="B21" i="3"/>
  <c r="B8" i="3"/>
  <c r="B10" i="3"/>
  <c r="B26" i="3"/>
  <c r="L20" i="2"/>
  <c r="L21" i="2"/>
  <c r="L26" i="2"/>
  <c r="Q26" i="2"/>
  <c r="B8" i="2"/>
  <c r="B20" i="2"/>
  <c r="B21" i="2"/>
  <c r="B7" i="1"/>
  <c r="B20" i="1"/>
  <c r="B21" i="1"/>
  <c r="B26" i="1"/>
  <c r="B27" i="8"/>
  <c r="B8" i="8"/>
  <c r="B10" i="8"/>
  <c r="B8" i="6"/>
  <c r="B10" i="6"/>
  <c r="B26" i="6"/>
  <c r="B26" i="5"/>
  <c r="B8" i="5"/>
  <c r="B10" i="5"/>
  <c r="B26" i="2"/>
  <c r="B8" i="1"/>
  <c r="B10" i="1"/>
  <c r="Q17" i="8"/>
  <c r="B4" i="12" l="1"/>
  <c r="Q17" i="12"/>
  <c r="B21" i="12"/>
  <c r="B22" i="12" s="1"/>
  <c r="G17" i="12"/>
  <c r="G21" i="12" s="1"/>
  <c r="G22" i="12" s="1"/>
  <c r="G27" i="12" s="1"/>
  <c r="L17" i="12"/>
  <c r="L21" i="12" s="1"/>
  <c r="L22" i="12" s="1"/>
  <c r="L27" i="12" s="1"/>
  <c r="V22" i="12"/>
  <c r="V27" i="12" s="1"/>
  <c r="AA22" i="12"/>
  <c r="AA27" i="12" s="1"/>
  <c r="B6" i="12"/>
  <c r="Z22" i="11"/>
  <c r="Z27" i="11" s="1"/>
  <c r="AD22" i="11"/>
  <c r="AD27" i="11" s="1"/>
  <c r="L21" i="11"/>
  <c r="L22" i="11" s="1"/>
  <c r="L27" i="11" s="1"/>
  <c r="AH22" i="11"/>
  <c r="AH27" i="11" s="1"/>
  <c r="G22" i="11"/>
  <c r="G27" i="11" s="1"/>
  <c r="B6" i="11"/>
  <c r="V22" i="11"/>
  <c r="V27" i="11" s="1"/>
  <c r="B4" i="11"/>
  <c r="B5" i="11"/>
  <c r="L17" i="10"/>
  <c r="L21" i="10" s="1"/>
  <c r="L22" i="10" s="1"/>
  <c r="L27" i="10" s="1"/>
  <c r="V22" i="10"/>
  <c r="V27" i="10" s="1"/>
  <c r="Z22" i="10"/>
  <c r="Z27" i="10" s="1"/>
  <c r="AH22" i="10"/>
  <c r="AH27" i="10" s="1"/>
  <c r="B7" i="10"/>
  <c r="AD22" i="10"/>
  <c r="AD27" i="10" s="1"/>
  <c r="G17" i="10"/>
  <c r="G21" i="10" s="1"/>
  <c r="G22" i="10" s="1"/>
  <c r="B4" i="10"/>
  <c r="B7" i="12" l="1"/>
  <c r="B8" i="12"/>
  <c r="B10" i="12" s="1"/>
  <c r="B27" i="12"/>
  <c r="B8" i="10"/>
  <c r="B10" i="10" s="1"/>
  <c r="G27" i="10"/>
  <c r="B22" i="11"/>
  <c r="B8" i="11" l="1"/>
  <c r="B10" i="11" s="1"/>
  <c r="B27" i="11"/>
</calcChain>
</file>

<file path=xl/sharedStrings.xml><?xml version="1.0" encoding="utf-8"?>
<sst xmlns="http://schemas.openxmlformats.org/spreadsheetml/2006/main" count="648" uniqueCount="63">
  <si>
    <t>VICTORIAENSO PAYNOW - 98803379</t>
  </si>
  <si>
    <t>Total Hours</t>
  </si>
  <si>
    <t>Total Sales Level 2</t>
  </si>
  <si>
    <t>Total Sales Level 1</t>
  </si>
  <si>
    <t xml:space="preserve">Total Sales </t>
  </si>
  <si>
    <t xml:space="preserve">Gross Salary </t>
  </si>
  <si>
    <t>Total Staff Costs</t>
  </si>
  <si>
    <t xml:space="preserve">Person: Evonne </t>
  </si>
  <si>
    <t>Person: Rinku</t>
  </si>
  <si>
    <t>Person: Gladis</t>
  </si>
  <si>
    <t>Person: Jilian</t>
  </si>
  <si>
    <t>Person: Irina</t>
  </si>
  <si>
    <t>Total Hrs</t>
  </si>
  <si>
    <t>Total Sales</t>
  </si>
  <si>
    <t>Hour Rate</t>
  </si>
  <si>
    <t>Sales (%)</t>
  </si>
  <si>
    <t>Gross Hour</t>
  </si>
  <si>
    <t>Commission</t>
  </si>
  <si>
    <t xml:space="preserve"> </t>
  </si>
  <si>
    <t>Gross Payment</t>
  </si>
  <si>
    <t>Employer CPF + SDL</t>
  </si>
  <si>
    <t>Employee CPF</t>
  </si>
  <si>
    <t>Total CPF</t>
  </si>
  <si>
    <t>Other Payment</t>
  </si>
  <si>
    <t>Giro Payment</t>
  </si>
  <si>
    <t>Date</t>
  </si>
  <si>
    <t>Hrs</t>
  </si>
  <si>
    <t>Issetan Scotts Sales ($)</t>
  </si>
  <si>
    <t>Issetan Level 1 Sales ($)</t>
  </si>
  <si>
    <t>PayNow Sales ($)</t>
  </si>
  <si>
    <t>On-Line Sales ($)</t>
  </si>
  <si>
    <t>January 2025 Payroll</t>
  </si>
  <si>
    <t>February  2025 Payroll</t>
  </si>
  <si>
    <t xml:space="preserve">Person: Michelle </t>
  </si>
  <si>
    <t>March 2025 Payroll</t>
  </si>
  <si>
    <t>Total Sales Jewel</t>
  </si>
  <si>
    <t>Jewel Sales ($)</t>
  </si>
  <si>
    <t>April 2025 Payroll</t>
  </si>
  <si>
    <t>Issetan Level 2 Sales ($)</t>
  </si>
  <si>
    <t>May 2025 Payroll</t>
  </si>
  <si>
    <t>Total Sales Isetan</t>
  </si>
  <si>
    <t>Total Sales Takashimaya</t>
  </si>
  <si>
    <t>Taka Sales ($)</t>
  </si>
  <si>
    <t>Person: Jillian</t>
  </si>
  <si>
    <t>*Jewel sales</t>
  </si>
  <si>
    <t>June 2025 Payroll</t>
  </si>
  <si>
    <t>July 2025 Payroll</t>
  </si>
  <si>
    <t>August  2025 Payroll</t>
  </si>
  <si>
    <t xml:space="preserve">Person: Olly </t>
  </si>
  <si>
    <t>Ang cheng Siew (Jillian)</t>
  </si>
  <si>
    <t>posb 158-00039-3</t>
  </si>
  <si>
    <t>PayNow 82189326</t>
  </si>
  <si>
    <t>September 2025 Payroll</t>
  </si>
  <si>
    <t>October 2025 Payroll</t>
  </si>
  <si>
    <t>Person:Soniya</t>
  </si>
  <si>
    <t>Person: Shiela</t>
  </si>
  <si>
    <t>Paynow 83607413</t>
  </si>
  <si>
    <t>PayNow 80818709</t>
  </si>
  <si>
    <t>November 2025 Payroll</t>
  </si>
  <si>
    <t>December 2025 Payroll</t>
  </si>
  <si>
    <t>PayNow Sales/Cash ($)</t>
  </si>
  <si>
    <t>Marina Bay</t>
  </si>
  <si>
    <t>Marina Bay (St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</si>
</sst>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&quot;$&quot;#,##0.00;[Red]&quot;$&quot;#,##0.00"/>
    <numFmt numFmtId="166" formatCode="&quot;$&quot;#,##0.00"/>
    <numFmt numFmtId="167" formatCode="[$£-809]#,##0.00"/>
    <numFmt numFmtId="168" formatCode="#,##0.00;\(#,##0.00\)"/>
    <numFmt numFmtId="169" formatCode="d\ mmmm\ yyyy"/>
  </numFmts>
  <fonts count="24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0"/>
      <color rgb="FFFFFFFF"/>
      <name val="Arial"/>
    </font>
    <font>
      <sz val="9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2" tint="-0.14999847407452621"/>
        <bgColor rgb="FFEFEFEF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8A5B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F1C23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" fontId="0" fillId="0" borderId="0" xfId="0" applyNumberFormat="1"/>
    <xf numFmtId="164" fontId="3" fillId="2" borderId="0" xfId="0" applyNumberFormat="1" applyFont="1" applyFill="1"/>
    <xf numFmtId="165" fontId="3" fillId="3" borderId="0" xfId="0" applyNumberFormat="1" applyFont="1" applyFill="1"/>
    <xf numFmtId="165" fontId="3" fillId="2" borderId="0" xfId="0" applyNumberFormat="1" applyFont="1" applyFill="1"/>
    <xf numFmtId="166" fontId="3" fillId="2" borderId="0" xfId="0" applyNumberFormat="1" applyFont="1" applyFill="1"/>
    <xf numFmtId="165" fontId="2" fillId="4" borderId="0" xfId="0" applyNumberFormat="1" applyFont="1" applyFill="1"/>
    <xf numFmtId="166" fontId="0" fillId="0" borderId="0" xfId="0" applyNumberFormat="1"/>
    <xf numFmtId="167" fontId="3" fillId="2" borderId="0" xfId="0" applyNumberFormat="1" applyFont="1" applyFill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/>
    <xf numFmtId="164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6" fontId="4" fillId="5" borderId="0" xfId="0" applyNumberFormat="1" applyFont="1" applyFill="1"/>
    <xf numFmtId="166" fontId="4" fillId="5" borderId="0" xfId="0" applyNumberFormat="1" applyFont="1" applyFill="1" applyAlignment="1">
      <alignment horizontal="right"/>
    </xf>
    <xf numFmtId="166" fontId="4" fillId="6" borderId="0" xfId="0" applyNumberFormat="1" applyFont="1" applyFill="1"/>
    <xf numFmtId="168" fontId="2" fillId="0" borderId="0" xfId="0" applyNumberFormat="1" applyFont="1"/>
    <xf numFmtId="166" fontId="4" fillId="6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" fillId="0" borderId="0" xfId="0" applyFont="1"/>
    <xf numFmtId="166" fontId="4" fillId="0" borderId="0" xfId="0" applyNumberFormat="1" applyFont="1"/>
    <xf numFmtId="0" fontId="4" fillId="5" borderId="0" xfId="0" applyFont="1" applyFill="1"/>
    <xf numFmtId="0" fontId="4" fillId="5" borderId="0" xfId="0" applyFont="1" applyFill="1" applyAlignment="1">
      <alignment horizontal="right"/>
    </xf>
    <xf numFmtId="2" fontId="4" fillId="6" borderId="0" xfId="0" applyNumberFormat="1" applyFont="1" applyFill="1"/>
    <xf numFmtId="0" fontId="10" fillId="7" borderId="0" xfId="0" applyFont="1" applyFill="1"/>
    <xf numFmtId="166" fontId="10" fillId="7" borderId="0" xfId="0" applyNumberFormat="1" applyFont="1" applyFill="1"/>
    <xf numFmtId="2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1" fillId="0" borderId="0" xfId="0" applyFont="1"/>
    <xf numFmtId="166" fontId="4" fillId="5" borderId="0" xfId="0" applyNumberFormat="1" applyFont="1" applyFill="1" applyAlignment="1">
      <alignment vertical="center"/>
    </xf>
    <xf numFmtId="166" fontId="7" fillId="8" borderId="0" xfId="0" applyNumberFormat="1" applyFont="1" applyFill="1"/>
    <xf numFmtId="166" fontId="7" fillId="8" borderId="0" xfId="0" applyNumberFormat="1" applyFont="1" applyFill="1" applyAlignment="1">
      <alignment horizontal="right"/>
    </xf>
    <xf numFmtId="166" fontId="7" fillId="5" borderId="0" xfId="0" applyNumberFormat="1" applyFont="1" applyFill="1" applyAlignment="1">
      <alignment horizontal="right"/>
    </xf>
    <xf numFmtId="0" fontId="12" fillId="0" borderId="0" xfId="0" applyFont="1"/>
    <xf numFmtId="0" fontId="13" fillId="9" borderId="0" xfId="0" applyFont="1" applyFill="1" applyAlignment="1">
      <alignment horizontal="center" vertical="center"/>
    </xf>
    <xf numFmtId="2" fontId="10" fillId="9" borderId="0" xfId="0" applyNumberFormat="1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0" fillId="10" borderId="0" xfId="0" applyFont="1" applyFill="1"/>
    <xf numFmtId="2" fontId="14" fillId="9" borderId="0" xfId="0" applyNumberFormat="1" applyFont="1" applyFill="1" applyAlignment="1">
      <alignment horizontal="center" vertical="center" wrapText="1"/>
    </xf>
    <xf numFmtId="2" fontId="15" fillId="9" borderId="0" xfId="0" applyNumberFormat="1" applyFont="1" applyFill="1" applyAlignment="1">
      <alignment horizontal="center" wrapText="1"/>
    </xf>
    <xf numFmtId="0" fontId="15" fillId="6" borderId="0" xfId="0" applyFont="1" applyFill="1" applyAlignment="1">
      <alignment horizontal="center" wrapText="1"/>
    </xf>
    <xf numFmtId="169" fontId="4" fillId="0" borderId="0" xfId="0" applyNumberFormat="1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 vertical="top"/>
    </xf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10" fillId="11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4" fillId="5" borderId="0" xfId="0" applyNumberFormat="1" applyFont="1" applyFill="1" applyAlignment="1">
      <alignment horizontal="right" vertical="center"/>
    </xf>
    <xf numFmtId="166" fontId="4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166" fontId="7" fillId="5" borderId="0" xfId="0" applyNumberFormat="1" applyFont="1" applyFill="1" applyAlignment="1">
      <alignment horizontal="right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43" fontId="0" fillId="0" borderId="0" xfId="1" applyFont="1"/>
    <xf numFmtId="43" fontId="4" fillId="0" borderId="0" xfId="1" applyFont="1" applyAlignment="1">
      <alignment horizontal="center" vertical="center"/>
    </xf>
    <xf numFmtId="43" fontId="14" fillId="9" borderId="0" xfId="1" applyFont="1" applyFill="1" applyAlignment="1">
      <alignment horizontal="center" vertical="center" wrapText="1"/>
    </xf>
    <xf numFmtId="0" fontId="3" fillId="12" borderId="0" xfId="0" applyFont="1" applyFill="1"/>
    <xf numFmtId="165" fontId="4" fillId="12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 vertical="center"/>
    </xf>
    <xf numFmtId="4" fontId="0" fillId="0" borderId="0" xfId="0" applyNumberFormat="1"/>
    <xf numFmtId="2" fontId="10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2" fontId="7" fillId="9" borderId="0" xfId="0" applyNumberFormat="1" applyFont="1" applyFill="1" applyAlignment="1">
      <alignment horizontal="center" vertical="center" wrapText="1"/>
    </xf>
    <xf numFmtId="2" fontId="7" fillId="11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43" fontId="7" fillId="9" borderId="0" xfId="1" applyFont="1" applyFill="1" applyAlignment="1">
      <alignment horizontal="center" vertical="center" wrapText="1"/>
    </xf>
    <xf numFmtId="2" fontId="4" fillId="12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6" fontId="4" fillId="6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righ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7" fillId="9" borderId="0" xfId="0" applyFont="1" applyFill="1" applyAlignment="1">
      <alignment horizontal="right" vertical="center"/>
    </xf>
    <xf numFmtId="43" fontId="0" fillId="0" borderId="0" xfId="1" applyFont="1" applyAlignment="1">
      <alignment horizontal="right"/>
    </xf>
    <xf numFmtId="2" fontId="0" fillId="0" borderId="0" xfId="0" applyNumberFormat="1" applyAlignment="1">
      <alignment horizontal="right"/>
    </xf>
    <xf numFmtId="2" fontId="12" fillId="0" borderId="0" xfId="0" applyNumberFormat="1" applyFont="1" applyAlignment="1">
      <alignment horizontal="center"/>
    </xf>
    <xf numFmtId="2" fontId="5" fillId="0" borderId="0" xfId="0" applyNumberFormat="1" applyFont="1"/>
    <xf numFmtId="2" fontId="11" fillId="0" borderId="0" xfId="0" applyNumberFormat="1" applyFon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2" fontId="19" fillId="0" borderId="0" xfId="0" applyNumberFormat="1" applyFont="1"/>
    <xf numFmtId="164" fontId="18" fillId="2" borderId="0" xfId="0" applyNumberFormat="1" applyFont="1" applyFill="1"/>
    <xf numFmtId="165" fontId="18" fillId="3" borderId="0" xfId="0" applyNumberFormat="1" applyFont="1" applyFill="1"/>
    <xf numFmtId="165" fontId="18" fillId="2" borderId="0" xfId="0" applyNumberFormat="1" applyFont="1" applyFill="1"/>
    <xf numFmtId="166" fontId="18" fillId="2" borderId="0" xfId="0" applyNumberFormat="1" applyFont="1" applyFill="1"/>
    <xf numFmtId="167" fontId="18" fillId="2" borderId="0" xfId="0" applyNumberFormat="1" applyFont="1" applyFill="1"/>
    <xf numFmtId="0" fontId="20" fillId="0" borderId="0" xfId="0" applyFont="1"/>
    <xf numFmtId="0" fontId="21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164" fontId="19" fillId="5" borderId="0" xfId="0" applyNumberFormat="1" applyFont="1" applyFill="1"/>
    <xf numFmtId="164" fontId="19" fillId="5" borderId="0" xfId="0" applyNumberFormat="1" applyFont="1" applyFill="1" applyAlignment="1">
      <alignment horizontal="right"/>
    </xf>
    <xf numFmtId="166" fontId="19" fillId="5" borderId="0" xfId="0" applyNumberFormat="1" applyFont="1" applyFill="1"/>
    <xf numFmtId="166" fontId="19" fillId="5" borderId="0" xfId="0" applyNumberFormat="1" applyFont="1" applyFill="1" applyAlignment="1">
      <alignment horizontal="right"/>
    </xf>
    <xf numFmtId="166" fontId="19" fillId="5" borderId="0" xfId="0" applyNumberFormat="1" applyFont="1" applyFill="1" applyAlignment="1">
      <alignment horizontal="right" wrapText="1"/>
    </xf>
    <xf numFmtId="166" fontId="19" fillId="6" borderId="0" xfId="0" applyNumberFormat="1" applyFont="1" applyFill="1" applyAlignment="1">
      <alignment horizontal="center" vertical="center"/>
    </xf>
    <xf numFmtId="166" fontId="19" fillId="0" borderId="0" xfId="0" applyNumberFormat="1" applyFont="1"/>
    <xf numFmtId="166" fontId="19" fillId="0" borderId="0" xfId="0" applyNumberFormat="1" applyFont="1" applyAlignment="1">
      <alignment horizontal="center" vertical="center"/>
    </xf>
    <xf numFmtId="166" fontId="19" fillId="6" borderId="0" xfId="0" applyNumberFormat="1" applyFont="1" applyFill="1"/>
    <xf numFmtId="166" fontId="19" fillId="6" borderId="0" xfId="0" applyNumberFormat="1" applyFont="1" applyFill="1" applyAlignment="1">
      <alignment horizontal="center"/>
    </xf>
    <xf numFmtId="0" fontId="19" fillId="5" borderId="0" xfId="0" applyFont="1" applyFill="1"/>
    <xf numFmtId="0" fontId="19" fillId="5" borderId="0" xfId="0" applyFont="1" applyFill="1" applyAlignment="1">
      <alignment horizontal="right"/>
    </xf>
    <xf numFmtId="0" fontId="22" fillId="7" borderId="0" xfId="0" applyFont="1" applyFill="1"/>
    <xf numFmtId="166" fontId="22" fillId="7" borderId="0" xfId="0" applyNumberFormat="1" applyFont="1" applyFill="1"/>
    <xf numFmtId="166" fontId="19" fillId="5" borderId="0" xfId="0" applyNumberFormat="1" applyFont="1" applyFill="1" applyAlignment="1">
      <alignment vertical="center"/>
    </xf>
    <xf numFmtId="166" fontId="20" fillId="8" borderId="0" xfId="0" applyNumberFormat="1" applyFont="1" applyFill="1"/>
    <xf numFmtId="166" fontId="20" fillId="8" borderId="0" xfId="0" applyNumberFormat="1" applyFont="1" applyFill="1" applyAlignment="1">
      <alignment horizontal="right"/>
    </xf>
    <xf numFmtId="0" fontId="23" fillId="0" borderId="0" xfId="0" applyFont="1"/>
    <xf numFmtId="0" fontId="20" fillId="9" borderId="0" xfId="0" applyFont="1" applyFill="1" applyAlignment="1">
      <alignment horizontal="center" vertical="center"/>
    </xf>
    <xf numFmtId="2" fontId="20" fillId="9" borderId="0" xfId="0" applyNumberFormat="1" applyFont="1" applyFill="1" applyAlignment="1">
      <alignment horizontal="center" vertical="center" wrapText="1"/>
    </xf>
    <xf numFmtId="2" fontId="20" fillId="11" borderId="0" xfId="0" applyNumberFormat="1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2" fillId="10" borderId="0" xfId="0" applyFont="1" applyFill="1"/>
    <xf numFmtId="43" fontId="20" fillId="9" borderId="0" xfId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0" fillId="9" borderId="0" xfId="0" applyFont="1" applyFill="1" applyAlignment="1">
      <alignment horizontal="right" vertical="center"/>
    </xf>
    <xf numFmtId="169" fontId="19" fillId="0" borderId="0" xfId="0" applyNumberFormat="1" applyFont="1"/>
    <xf numFmtId="164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2" fontId="5" fillId="0" borderId="0" xfId="0" applyNumberFormat="1" applyFont="1" applyAlignment="1">
      <alignment horizontal="center"/>
    </xf>
    <xf numFmtId="166" fontId="0" fillId="12" borderId="0" xfId="0" applyNumberFormat="1" applyFill="1" applyAlignment="1">
      <alignment horizontal="center"/>
    </xf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0210-37C3-4C42-8AF2-68EBC60C90B8}">
  <dimension ref="A1:X59"/>
  <sheetViews>
    <sheetView topLeftCell="A15" zoomScale="86" zoomScaleNormal="86" workbookViewId="0">
      <selection activeCell="W12" sqref="W12"/>
    </sheetView>
  </sheetViews>
  <sheetFormatPr defaultColWidth="12.6328125" defaultRowHeight="14.5" x14ac:dyDescent="0.35"/>
  <cols>
    <col min="1" max="1" width="20.54296875" customWidth="1"/>
    <col min="2" max="2" width="12.36328125" customWidth="1"/>
    <col min="3" max="3" width="12.26953125" bestFit="1" customWidth="1"/>
    <col min="4" max="5" width="11.26953125" customWidth="1"/>
    <col min="6" max="6" width="2.1796875" customWidth="1"/>
    <col min="7" max="7" width="10.36328125" customWidth="1"/>
    <col min="8" max="8" width="12.26953125" style="4" bestFit="1" customWidth="1"/>
    <col min="9" max="9" width="11.26953125" customWidth="1"/>
    <col min="10" max="10" width="10.6328125" customWidth="1"/>
    <col min="11" max="11" width="2.26953125" customWidth="1"/>
    <col min="12" max="12" width="13.54296875" bestFit="1" customWidth="1"/>
    <col min="13" max="14" width="12.81640625" customWidth="1"/>
    <col min="15" max="15" width="9.90625" customWidth="1"/>
    <col min="16" max="16" width="2.1796875" customWidth="1"/>
    <col min="17" max="17" width="10.7265625" style="7" hidden="1" customWidth="1"/>
    <col min="18" max="18" width="11.7265625" style="7" hidden="1" customWidth="1"/>
    <col min="19" max="19" width="13.1796875" style="7" hidden="1" customWidth="1"/>
    <col min="20" max="20" width="2.1796875" customWidth="1"/>
    <col min="21" max="21" width="11.26953125" customWidth="1"/>
    <col min="22" max="22" width="12.26953125" customWidth="1"/>
    <col min="23" max="23" width="10.6328125" customWidth="1"/>
    <col min="24" max="24" width="9.26953125" customWidth="1"/>
    <col min="25" max="25" width="2.7265625" customWidth="1"/>
    <col min="26" max="26" width="10.08984375" customWidth="1"/>
  </cols>
  <sheetData>
    <row r="1" spans="1:21" ht="15.75" customHeight="1" x14ac:dyDescent="0.35">
      <c r="A1" s="1" t="s">
        <v>31</v>
      </c>
      <c r="C1" s="2"/>
      <c r="D1" s="2"/>
      <c r="E1" s="3" t="s">
        <v>0</v>
      </c>
      <c r="L1" s="5"/>
      <c r="M1" s="6"/>
      <c r="N1" s="6"/>
      <c r="U1" s="5"/>
    </row>
    <row r="2" spans="1:21" ht="15.75" customHeight="1" x14ac:dyDescent="0.35">
      <c r="A2" s="8"/>
      <c r="B2" s="9"/>
      <c r="C2" s="2"/>
      <c r="D2" s="2"/>
      <c r="L2" s="5"/>
      <c r="M2" s="6"/>
      <c r="N2" s="6"/>
      <c r="U2" s="5"/>
    </row>
    <row r="3" spans="1:21" ht="15.75" customHeight="1" x14ac:dyDescent="0.35">
      <c r="A3" s="8"/>
      <c r="B3" s="10"/>
      <c r="C3" s="2"/>
      <c r="D3" s="2"/>
      <c r="L3" s="5"/>
      <c r="M3" s="6"/>
      <c r="N3" s="6"/>
      <c r="U3" s="5"/>
    </row>
    <row r="4" spans="1:21" ht="15.75" customHeight="1" x14ac:dyDescent="0.35">
      <c r="A4" s="3" t="s">
        <v>1</v>
      </c>
      <c r="B4" s="11">
        <f>B13+G13+L13+Q13</f>
        <v>284.5</v>
      </c>
      <c r="C4" s="2"/>
      <c r="D4" s="2"/>
      <c r="L4" s="5"/>
      <c r="M4" s="6"/>
      <c r="N4" s="6"/>
      <c r="U4" s="5"/>
    </row>
    <row r="5" spans="1:21" ht="15.75" customHeight="1" x14ac:dyDescent="0.35">
      <c r="A5" s="3" t="s">
        <v>2</v>
      </c>
      <c r="B5" s="12">
        <f>B14+G14+L14+U14</f>
        <v>6713.3</v>
      </c>
      <c r="C5" s="2"/>
      <c r="D5" s="2"/>
      <c r="L5" s="5"/>
      <c r="M5" s="6"/>
      <c r="N5" s="6"/>
      <c r="U5" s="5"/>
    </row>
    <row r="6" spans="1:21" ht="15.75" customHeight="1" x14ac:dyDescent="0.35">
      <c r="A6" s="8" t="s">
        <v>3</v>
      </c>
      <c r="B6" s="13">
        <f>B15+G15+L15+Q15+U15</f>
        <v>7147.6</v>
      </c>
      <c r="C6" s="2"/>
      <c r="D6" s="2"/>
      <c r="L6" s="5"/>
      <c r="M6" s="6"/>
      <c r="N6" s="6"/>
      <c r="U6" s="5"/>
    </row>
    <row r="7" spans="1:21" ht="15.75" customHeight="1" x14ac:dyDescent="0.35">
      <c r="A7" s="3" t="s">
        <v>4</v>
      </c>
      <c r="B7" s="14">
        <f>B16+L16+Q16+G16+U16</f>
        <v>13860.900000000001</v>
      </c>
      <c r="C7" s="15">
        <f>C16+H16+M16+R17+V16</f>
        <v>0</v>
      </c>
      <c r="D7" s="15"/>
      <c r="E7" s="16"/>
      <c r="L7" s="5"/>
      <c r="M7" s="6"/>
      <c r="N7" s="6"/>
      <c r="U7" s="5"/>
    </row>
    <row r="8" spans="1:21" ht="15.75" customHeight="1" x14ac:dyDescent="0.35">
      <c r="A8" s="3" t="s">
        <v>5</v>
      </c>
      <c r="B8" s="14">
        <f>B21+G21+L21+Q21+U21</f>
        <v>4429.99</v>
      </c>
      <c r="C8" s="2"/>
      <c r="D8" s="2"/>
      <c r="L8" s="5"/>
      <c r="M8" s="6"/>
      <c r="N8" s="6"/>
      <c r="U8" s="5"/>
    </row>
    <row r="9" spans="1:21" ht="15.75" customHeight="1" x14ac:dyDescent="0.35">
      <c r="A9" s="3"/>
      <c r="B9" s="17"/>
      <c r="L9" s="5"/>
      <c r="M9" s="6"/>
      <c r="N9" s="6"/>
      <c r="U9" s="5"/>
    </row>
    <row r="10" spans="1:21" ht="15.75" customHeight="1" x14ac:dyDescent="0.35">
      <c r="A10" s="3" t="s">
        <v>6</v>
      </c>
      <c r="B10" s="14">
        <f>B8+B22+L25</f>
        <v>4629.99</v>
      </c>
      <c r="C10" s="2"/>
      <c r="D10" s="2"/>
      <c r="L10" s="5"/>
      <c r="M10" s="6"/>
      <c r="N10" s="6"/>
      <c r="U10" s="5"/>
    </row>
    <row r="11" spans="1:21" ht="15.75" customHeight="1" x14ac:dyDescent="0.35">
      <c r="B11" s="18"/>
      <c r="C11" s="2"/>
      <c r="D11" s="2"/>
      <c r="G11" s="18"/>
      <c r="L11" s="5"/>
      <c r="M11" s="6"/>
      <c r="N11" s="6"/>
      <c r="Q11" s="19"/>
      <c r="U11" s="5"/>
    </row>
    <row r="12" spans="1:21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10</v>
      </c>
      <c r="U12" s="21" t="s">
        <v>11</v>
      </c>
    </row>
    <row r="13" spans="1:21" ht="15.75" customHeight="1" x14ac:dyDescent="0.35">
      <c r="A13" s="18" t="s">
        <v>12</v>
      </c>
      <c r="B13" s="22">
        <f>SUM(B29:B61)</f>
        <v>87.5</v>
      </c>
      <c r="C13" s="2"/>
      <c r="D13" s="2"/>
      <c r="G13" s="23">
        <f>SUM(G29:G59)</f>
        <v>124</v>
      </c>
      <c r="H13" s="20"/>
      <c r="I13" s="5"/>
      <c r="J13" s="5"/>
      <c r="L13" s="23">
        <f>SUM(L29:L61)</f>
        <v>73</v>
      </c>
      <c r="M13" s="6"/>
      <c r="N13" s="6"/>
      <c r="Q13" s="23">
        <f>SUM(Q27:Q59)</f>
        <v>0</v>
      </c>
      <c r="R13" s="20"/>
      <c r="S13" s="5"/>
      <c r="U13" s="23"/>
    </row>
    <row r="14" spans="1:21" ht="15.75" customHeight="1" x14ac:dyDescent="0.35">
      <c r="A14" s="3" t="s">
        <v>2</v>
      </c>
      <c r="B14" s="24">
        <f>SUM(C29:C59)</f>
        <v>656</v>
      </c>
      <c r="C14" s="2"/>
      <c r="D14" s="2"/>
      <c r="G14" s="25">
        <f>SUM(H29:H59)</f>
        <v>3823.8</v>
      </c>
      <c r="H14" s="20"/>
      <c r="I14" s="5"/>
      <c r="J14" s="5"/>
      <c r="L14" s="25">
        <f>SUM(M29:M59)</f>
        <v>2083.5</v>
      </c>
      <c r="M14" s="6"/>
      <c r="N14" s="6"/>
      <c r="Q14" s="25">
        <f>SUM(R29:R59)</f>
        <v>0</v>
      </c>
      <c r="R14" s="20"/>
      <c r="S14" s="5"/>
      <c r="U14" s="25">
        <f>SUM(V29:V59)</f>
        <v>150</v>
      </c>
    </row>
    <row r="15" spans="1:21" ht="15.75" customHeight="1" x14ac:dyDescent="0.35">
      <c r="A15" s="21" t="s">
        <v>3</v>
      </c>
      <c r="B15" s="25">
        <f>SUM(D29:D59)</f>
        <v>2776</v>
      </c>
      <c r="C15" s="2"/>
      <c r="D15" s="2"/>
      <c r="G15" s="25">
        <f>SUM(I29:I59)</f>
        <v>4175.6000000000004</v>
      </c>
      <c r="H15" s="20"/>
      <c r="I15" s="5"/>
      <c r="J15" s="5"/>
      <c r="L15" s="25">
        <f>SUM(N29:N59)</f>
        <v>0</v>
      </c>
      <c r="M15" s="6"/>
      <c r="N15" s="6"/>
      <c r="Q15" s="25">
        <f>SUM(S29:S59)</f>
        <v>0</v>
      </c>
      <c r="R15" s="20"/>
      <c r="S15" s="5"/>
      <c r="U15" s="25">
        <f>SUM(W29:W59)</f>
        <v>196</v>
      </c>
    </row>
    <row r="16" spans="1:21" ht="15.75" customHeight="1" x14ac:dyDescent="0.35">
      <c r="A16" s="18" t="s">
        <v>13</v>
      </c>
      <c r="B16" s="25">
        <f>B14+B15</f>
        <v>3432</v>
      </c>
      <c r="C16" s="26">
        <f>SUM(E29:E59)</f>
        <v>0</v>
      </c>
      <c r="D16" s="26"/>
      <c r="E16" s="27"/>
      <c r="G16" s="25">
        <f>G14+G15+H16+I16</f>
        <v>7999.4000000000005</v>
      </c>
      <c r="H16" s="28">
        <f>SUM(J29:J60)</f>
        <v>0</v>
      </c>
      <c r="I16" s="29"/>
      <c r="J16" s="30"/>
      <c r="L16" s="25">
        <f>L14+L15+M16+N16</f>
        <v>2083.5</v>
      </c>
      <c r="M16" s="26">
        <f>SUM(O29:O59)</f>
        <v>0</v>
      </c>
      <c r="N16" s="31"/>
      <c r="O16" s="30"/>
      <c r="Q16" s="25">
        <f>Q14+Q15</f>
        <v>0</v>
      </c>
      <c r="R16" s="28">
        <f>SUM(T29:T60)</f>
        <v>0</v>
      </c>
      <c r="S16" s="26"/>
      <c r="U16" s="25">
        <f>U14+U15</f>
        <v>346</v>
      </c>
    </row>
    <row r="17" spans="1:24" ht="15.75" customHeight="1" x14ac:dyDescent="0.35">
      <c r="A17" s="5" t="s">
        <v>14</v>
      </c>
      <c r="B17" s="24">
        <v>11</v>
      </c>
      <c r="C17" s="2"/>
      <c r="D17" s="2"/>
      <c r="G17" s="25">
        <v>10</v>
      </c>
      <c r="H17" s="20"/>
      <c r="I17" s="5"/>
      <c r="J17" s="5"/>
      <c r="L17" s="25">
        <v>12</v>
      </c>
      <c r="M17" s="6"/>
      <c r="N17" s="6"/>
      <c r="Q17" s="25">
        <v>10</v>
      </c>
      <c r="R17" s="20"/>
      <c r="S17" s="5"/>
      <c r="U17" s="25"/>
      <c r="V17" s="5"/>
      <c r="W17" s="5"/>
      <c r="X17" s="5"/>
    </row>
    <row r="18" spans="1:24" ht="15.75" customHeight="1" x14ac:dyDescent="0.35">
      <c r="A18" s="5" t="s">
        <v>15</v>
      </c>
      <c r="B18" s="32">
        <v>10</v>
      </c>
      <c r="C18" s="6">
        <v>10</v>
      </c>
      <c r="D18" s="6"/>
      <c r="G18" s="33">
        <v>10</v>
      </c>
      <c r="H18" s="20">
        <v>10</v>
      </c>
      <c r="I18" s="5"/>
      <c r="J18" s="5"/>
      <c r="L18" s="33">
        <v>10</v>
      </c>
      <c r="M18" s="6">
        <v>10</v>
      </c>
      <c r="N18" s="6"/>
      <c r="O18" s="5"/>
      <c r="Q18" s="33">
        <v>10</v>
      </c>
      <c r="R18" s="20">
        <v>10</v>
      </c>
      <c r="S18" s="5"/>
      <c r="U18" s="33"/>
      <c r="V18" s="5"/>
      <c r="W18" s="5"/>
      <c r="X18" s="5"/>
    </row>
    <row r="19" spans="1:24" ht="15.75" customHeight="1" x14ac:dyDescent="0.35">
      <c r="A19" s="5" t="s">
        <v>16</v>
      </c>
      <c r="B19" s="24">
        <f>B17*B13</f>
        <v>962.5</v>
      </c>
      <c r="D19" s="6"/>
      <c r="G19" s="25">
        <f>G17*G13</f>
        <v>1240</v>
      </c>
      <c r="H19" s="20"/>
      <c r="I19" s="5"/>
      <c r="J19" s="5"/>
      <c r="L19" s="25">
        <f>L17*L13</f>
        <v>876</v>
      </c>
      <c r="M19" s="6"/>
      <c r="N19" s="6"/>
      <c r="O19" s="5"/>
      <c r="Q19" s="25">
        <f>Q17*Q13</f>
        <v>0</v>
      </c>
      <c r="R19" s="20"/>
      <c r="S19" s="5"/>
      <c r="U19" s="25"/>
      <c r="V19" s="5"/>
      <c r="W19" s="5"/>
      <c r="X19" s="5"/>
    </row>
    <row r="20" spans="1:24" ht="15.75" customHeight="1" x14ac:dyDescent="0.35">
      <c r="A20" s="5" t="s">
        <v>17</v>
      </c>
      <c r="B20" s="25">
        <f>B16*(B18/100)+C20</f>
        <v>343.20000000000005</v>
      </c>
      <c r="C20" s="34">
        <f>C16*(C18/100)</f>
        <v>0</v>
      </c>
      <c r="D20" s="34"/>
      <c r="E20" s="31" t="s">
        <v>18</v>
      </c>
      <c r="G20" s="25">
        <f>G16*(G18/100)</f>
        <v>799.94</v>
      </c>
      <c r="H20" s="28">
        <f>H16*(H18/100)</f>
        <v>0</v>
      </c>
      <c r="I20" s="29"/>
      <c r="J20" s="31"/>
      <c r="L20" s="25">
        <f>L16*(L18/100)</f>
        <v>208.35000000000002</v>
      </c>
      <c r="M20" s="34">
        <f>M16*(M18/100)</f>
        <v>0</v>
      </c>
      <c r="N20" s="6"/>
      <c r="O20" s="31"/>
      <c r="Q20" s="25">
        <f>Q16*(Q18/100)+R20</f>
        <v>0</v>
      </c>
      <c r="R20" s="28">
        <f t="shared" ref="R20" si="0">R16*(R18/100)</f>
        <v>0</v>
      </c>
      <c r="S20" s="26"/>
      <c r="U20" s="25"/>
      <c r="V20" s="5"/>
      <c r="W20" s="5"/>
      <c r="X20" s="5"/>
    </row>
    <row r="21" spans="1:24" ht="15.75" customHeight="1" x14ac:dyDescent="0.35">
      <c r="A21" s="5" t="s">
        <v>19</v>
      </c>
      <c r="B21" s="24">
        <f>B19+B20</f>
        <v>1305.7</v>
      </c>
      <c r="C21" s="6"/>
      <c r="D21" s="6"/>
      <c r="G21" s="25">
        <f>G19+G20</f>
        <v>2039.94</v>
      </c>
      <c r="H21" s="20"/>
      <c r="I21" s="5"/>
      <c r="J21" s="5"/>
      <c r="L21" s="25">
        <f>L19+L20</f>
        <v>1084.3499999999999</v>
      </c>
      <c r="M21" s="6"/>
      <c r="N21" s="6"/>
      <c r="O21" s="5"/>
      <c r="Q21" s="25">
        <f>Q19+Q20</f>
        <v>0</v>
      </c>
      <c r="R21" s="20"/>
      <c r="S21" s="5"/>
      <c r="U21" s="25"/>
      <c r="V21" s="5"/>
      <c r="W21" s="5"/>
      <c r="X21" s="5"/>
    </row>
    <row r="22" spans="1:24" ht="15.75" customHeight="1" x14ac:dyDescent="0.35">
      <c r="A22" s="35" t="s">
        <v>20</v>
      </c>
      <c r="B22" s="36"/>
      <c r="C22" s="6"/>
      <c r="D22" s="6"/>
      <c r="G22" s="24"/>
      <c r="H22" s="20"/>
      <c r="I22" s="5"/>
      <c r="J22" s="5"/>
      <c r="L22" s="24"/>
      <c r="M22" s="6"/>
      <c r="N22" s="6"/>
      <c r="O22" s="5"/>
      <c r="Q22" s="24"/>
      <c r="R22" s="20"/>
      <c r="S22" s="5"/>
      <c r="U22" s="24"/>
      <c r="V22" s="5"/>
      <c r="W22" s="5"/>
      <c r="X22" s="5"/>
    </row>
    <row r="23" spans="1:24" ht="15.75" customHeight="1" x14ac:dyDescent="0.35">
      <c r="A23" s="35" t="s">
        <v>21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20"/>
      <c r="S23" s="5"/>
      <c r="V23" s="5"/>
      <c r="W23" s="5"/>
      <c r="X23" s="5"/>
    </row>
    <row r="24" spans="1:24" ht="15.75" customHeight="1" x14ac:dyDescent="0.35">
      <c r="A24" s="35" t="s">
        <v>22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20"/>
      <c r="S24" s="5"/>
      <c r="U24" s="24"/>
      <c r="V24" s="5"/>
      <c r="W24" s="5"/>
      <c r="X24" s="5"/>
    </row>
    <row r="25" spans="1:24" x14ac:dyDescent="0.35">
      <c r="A25" s="5" t="s">
        <v>23</v>
      </c>
      <c r="B25" s="24"/>
      <c r="C25" s="37"/>
      <c r="D25" s="37"/>
      <c r="G25" s="24"/>
      <c r="H25" s="38"/>
      <c r="I25" s="39"/>
      <c r="J25" s="5"/>
      <c r="L25" s="40">
        <v>200</v>
      </c>
      <c r="M25" s="37"/>
      <c r="N25" s="37"/>
      <c r="O25" s="5"/>
      <c r="Q25" s="24"/>
      <c r="R25" s="38"/>
      <c r="S25" s="39"/>
      <c r="U25" s="24"/>
      <c r="V25" s="5"/>
      <c r="W25" s="5"/>
      <c r="X25" s="5"/>
    </row>
    <row r="26" spans="1:24" x14ac:dyDescent="0.35">
      <c r="A26" s="5" t="s">
        <v>24</v>
      </c>
      <c r="B26" s="41">
        <f>B21-B23+B25</f>
        <v>1305.7</v>
      </c>
      <c r="C26" s="6"/>
      <c r="D26" s="6"/>
      <c r="G26" s="42">
        <f>G21-G24+G25</f>
        <v>2039.94</v>
      </c>
      <c r="H26" s="20"/>
      <c r="I26" s="5"/>
      <c r="J26" s="5"/>
      <c r="L26" s="42">
        <f>L21+L25</f>
        <v>1284.3499999999999</v>
      </c>
      <c r="O26" s="5"/>
      <c r="Q26" s="42">
        <f>Q21-Q24+Q25</f>
        <v>0</v>
      </c>
      <c r="R26" s="20"/>
      <c r="S26" s="5"/>
      <c r="U26" s="43"/>
      <c r="V26" s="5"/>
      <c r="W26" s="5"/>
      <c r="X26" s="5"/>
    </row>
    <row r="27" spans="1:24" ht="15.75" customHeight="1" x14ac:dyDescent="0.35">
      <c r="A27" s="5"/>
      <c r="B27" s="5"/>
      <c r="C27" s="6"/>
      <c r="D27" s="6"/>
      <c r="G27" s="5"/>
      <c r="H27" s="20"/>
      <c r="I27" s="5"/>
      <c r="J27" s="5"/>
      <c r="L27" s="5"/>
      <c r="M27" s="6"/>
      <c r="N27" s="6"/>
      <c r="O27" s="5"/>
      <c r="Q27" s="44"/>
      <c r="R27" s="44"/>
      <c r="U27" s="5"/>
      <c r="V27" s="5"/>
      <c r="W27" s="5"/>
      <c r="X27" s="5"/>
    </row>
    <row r="28" spans="1:24" ht="36" customHeight="1" x14ac:dyDescent="0.35">
      <c r="A28" s="5" t="s">
        <v>25</v>
      </c>
      <c r="B28" s="45" t="s">
        <v>26</v>
      </c>
      <c r="C28" s="46" t="s">
        <v>27</v>
      </c>
      <c r="D28" s="46" t="s">
        <v>28</v>
      </c>
      <c r="E28" s="47" t="s">
        <v>29</v>
      </c>
      <c r="F28" s="48" t="s">
        <v>30</v>
      </c>
      <c r="G28" s="45" t="s">
        <v>26</v>
      </c>
      <c r="H28" s="46" t="s">
        <v>27</v>
      </c>
      <c r="I28" s="46" t="s">
        <v>28</v>
      </c>
      <c r="J28" s="47" t="s">
        <v>29</v>
      </c>
      <c r="L28" s="45" t="s">
        <v>26</v>
      </c>
      <c r="M28" s="49" t="s">
        <v>27</v>
      </c>
      <c r="N28" s="46" t="s">
        <v>28</v>
      </c>
      <c r="O28" s="47" t="s">
        <v>29</v>
      </c>
      <c r="Q28" s="45" t="s">
        <v>26</v>
      </c>
      <c r="R28" s="50"/>
      <c r="S28" s="51"/>
      <c r="U28" s="45"/>
      <c r="V28" s="49" t="s">
        <v>27</v>
      </c>
      <c r="W28" s="46" t="s">
        <v>28</v>
      </c>
      <c r="X28" s="47" t="s">
        <v>29</v>
      </c>
    </row>
    <row r="29" spans="1:24" ht="15.75" customHeight="1" x14ac:dyDescent="0.35">
      <c r="A29" s="52">
        <v>45658</v>
      </c>
      <c r="B29" s="53"/>
      <c r="C29" s="54"/>
      <c r="D29" s="54"/>
      <c r="E29" s="54"/>
      <c r="F29" s="54"/>
      <c r="G29" s="55"/>
      <c r="H29" s="56"/>
      <c r="I29" s="54"/>
      <c r="J29" s="57"/>
      <c r="K29" s="57"/>
      <c r="L29" s="53">
        <v>10.5</v>
      </c>
      <c r="M29" s="54">
        <v>195</v>
      </c>
      <c r="N29" s="54"/>
      <c r="O29" s="54"/>
      <c r="P29" s="57"/>
      <c r="Q29" s="58"/>
      <c r="R29" s="59"/>
      <c r="S29" s="59"/>
      <c r="T29" s="57"/>
      <c r="U29" s="57"/>
      <c r="V29" s="57"/>
      <c r="W29" s="60"/>
      <c r="X29" s="57"/>
    </row>
    <row r="30" spans="1:24" ht="15.75" customHeight="1" x14ac:dyDescent="0.35">
      <c r="A30" s="52">
        <v>45659</v>
      </c>
      <c r="B30" s="53"/>
      <c r="C30" s="54"/>
      <c r="D30" s="54"/>
      <c r="E30" s="54"/>
      <c r="F30" s="54"/>
      <c r="G30" s="53">
        <v>10</v>
      </c>
      <c r="H30" s="4">
        <v>0</v>
      </c>
      <c r="I30" s="54"/>
      <c r="J30" s="57"/>
      <c r="K30" s="57"/>
      <c r="L30" s="53"/>
      <c r="M30" s="54"/>
      <c r="N30" s="54"/>
      <c r="O30" s="54"/>
      <c r="P30" s="57"/>
      <c r="Q30" s="58"/>
      <c r="R30" s="59"/>
      <c r="S30" s="59"/>
      <c r="T30" s="57"/>
      <c r="U30" s="57"/>
      <c r="V30" s="57"/>
      <c r="W30" s="57"/>
      <c r="X30" s="57"/>
    </row>
    <row r="31" spans="1:24" ht="15.75" customHeight="1" x14ac:dyDescent="0.35">
      <c r="A31" s="52">
        <v>45660</v>
      </c>
      <c r="B31" s="53">
        <v>11</v>
      </c>
      <c r="C31" s="54"/>
      <c r="D31" s="54">
        <v>1444</v>
      </c>
      <c r="E31" s="54"/>
      <c r="F31" s="57"/>
      <c r="G31" s="53">
        <v>10.5</v>
      </c>
      <c r="H31" s="61"/>
      <c r="I31" s="54">
        <v>4175.6000000000004</v>
      </c>
      <c r="J31" s="57"/>
      <c r="K31" s="57"/>
      <c r="L31" s="53"/>
      <c r="M31" s="54"/>
      <c r="N31" s="54"/>
      <c r="O31" s="54"/>
      <c r="P31" s="57"/>
      <c r="Q31" s="58"/>
      <c r="R31" s="59"/>
      <c r="S31" s="59"/>
      <c r="T31" s="57"/>
      <c r="U31" s="57"/>
      <c r="V31" s="54"/>
      <c r="W31" s="54">
        <v>196</v>
      </c>
      <c r="X31" s="57"/>
    </row>
    <row r="32" spans="1:24" ht="15.75" customHeight="1" x14ac:dyDescent="0.35">
      <c r="A32" s="52">
        <v>45661</v>
      </c>
      <c r="B32" s="53">
        <v>11</v>
      </c>
      <c r="C32" s="54"/>
      <c r="D32" s="54">
        <v>1020</v>
      </c>
      <c r="E32" s="54"/>
      <c r="F32" s="57"/>
      <c r="G32" s="62"/>
      <c r="H32" s="56"/>
      <c r="I32" s="63"/>
      <c r="J32" s="57"/>
      <c r="K32" s="57"/>
      <c r="L32" s="53"/>
      <c r="M32" s="54"/>
      <c r="N32" s="54"/>
      <c r="O32" s="54"/>
      <c r="P32" s="57"/>
      <c r="Q32" s="58"/>
      <c r="R32" s="59"/>
      <c r="S32" s="59"/>
      <c r="T32" s="57"/>
      <c r="U32" s="57"/>
      <c r="V32" s="54"/>
      <c r="W32" s="54"/>
      <c r="X32" s="57"/>
    </row>
    <row r="33" spans="1:23" ht="15.75" customHeight="1" x14ac:dyDescent="0.35">
      <c r="A33" s="52">
        <v>45662</v>
      </c>
      <c r="B33" s="53"/>
      <c r="C33" s="54"/>
      <c r="D33" s="54"/>
      <c r="E33" s="54"/>
      <c r="F33" s="57"/>
      <c r="G33" s="53"/>
      <c r="H33" s="56"/>
      <c r="I33" s="54"/>
      <c r="J33" s="57"/>
      <c r="K33" s="57"/>
      <c r="L33" s="53"/>
      <c r="M33" s="54"/>
      <c r="V33" s="54"/>
      <c r="W33" s="54"/>
    </row>
    <row r="34" spans="1:23" ht="15.75" customHeight="1" x14ac:dyDescent="0.35">
      <c r="A34" s="52">
        <v>45663</v>
      </c>
      <c r="B34" s="53">
        <v>11</v>
      </c>
      <c r="C34" s="54"/>
      <c r="D34" s="54">
        <v>312</v>
      </c>
      <c r="E34" s="54"/>
      <c r="F34" s="57"/>
      <c r="G34" s="53"/>
      <c r="H34" s="56"/>
      <c r="I34" s="54"/>
      <c r="J34" s="57"/>
      <c r="K34" s="57"/>
      <c r="L34" s="53"/>
      <c r="M34" s="54"/>
      <c r="V34" s="54"/>
      <c r="W34" s="54"/>
    </row>
    <row r="35" spans="1:23" ht="15.75" customHeight="1" x14ac:dyDescent="0.35">
      <c r="A35" s="52">
        <v>45664</v>
      </c>
      <c r="B35" s="53"/>
      <c r="C35" s="54"/>
      <c r="D35" s="54"/>
      <c r="E35" s="54"/>
      <c r="F35" s="57"/>
      <c r="G35" s="53">
        <v>10</v>
      </c>
      <c r="H35" s="56"/>
      <c r="I35" s="54">
        <v>0</v>
      </c>
      <c r="J35" s="57"/>
      <c r="K35" s="57"/>
      <c r="L35" s="53"/>
      <c r="M35" s="54"/>
      <c r="V35" s="54"/>
      <c r="W35" s="54"/>
    </row>
    <row r="36" spans="1:23" ht="15.75" customHeight="1" x14ac:dyDescent="0.35">
      <c r="A36" s="52">
        <v>45665</v>
      </c>
      <c r="B36" s="53"/>
      <c r="C36" s="54"/>
      <c r="D36" s="54"/>
      <c r="E36" s="54"/>
      <c r="F36" s="57"/>
      <c r="G36" s="53">
        <v>10</v>
      </c>
      <c r="H36" s="56"/>
      <c r="I36" s="54">
        <v>0</v>
      </c>
      <c r="J36" s="57"/>
      <c r="K36" s="57"/>
      <c r="L36" s="53"/>
      <c r="M36" s="64"/>
      <c r="V36" s="54"/>
      <c r="W36" s="54"/>
    </row>
    <row r="37" spans="1:23" ht="15.75" customHeight="1" x14ac:dyDescent="0.35">
      <c r="A37" s="52">
        <v>45666</v>
      </c>
      <c r="B37" s="53"/>
      <c r="C37" s="54"/>
      <c r="D37" s="54"/>
      <c r="E37" s="54"/>
      <c r="F37" s="57"/>
      <c r="G37" s="53">
        <v>10.5</v>
      </c>
      <c r="H37" s="56">
        <v>0</v>
      </c>
      <c r="I37" s="54"/>
      <c r="K37" s="57"/>
      <c r="L37" s="53"/>
      <c r="M37" s="54"/>
    </row>
    <row r="38" spans="1:23" ht="15.75" customHeight="1" x14ac:dyDescent="0.35">
      <c r="A38" s="52">
        <v>45667</v>
      </c>
      <c r="B38" s="53">
        <v>11</v>
      </c>
      <c r="C38" s="54">
        <v>180</v>
      </c>
      <c r="D38" s="54"/>
      <c r="E38" s="54"/>
      <c r="F38" s="57"/>
      <c r="G38" s="53"/>
      <c r="H38" s="56"/>
      <c r="I38" s="54"/>
      <c r="J38" s="57"/>
      <c r="K38" s="57"/>
      <c r="L38" s="53"/>
      <c r="M38" s="54"/>
    </row>
    <row r="39" spans="1:23" ht="15.75" customHeight="1" x14ac:dyDescent="0.35">
      <c r="A39" s="52">
        <v>45668</v>
      </c>
      <c r="B39" s="53"/>
      <c r="C39" s="54"/>
      <c r="D39" s="54"/>
      <c r="E39" s="54"/>
      <c r="F39" s="57"/>
      <c r="G39" s="53">
        <v>10.5</v>
      </c>
      <c r="H39" s="56">
        <v>2944</v>
      </c>
      <c r="I39" s="54"/>
      <c r="J39" s="57"/>
      <c r="K39" s="57"/>
      <c r="L39" s="53"/>
      <c r="M39" s="54"/>
    </row>
    <row r="40" spans="1:23" ht="15.75" customHeight="1" x14ac:dyDescent="0.35">
      <c r="A40" s="52">
        <v>45669</v>
      </c>
      <c r="B40" s="53"/>
      <c r="C40" s="54"/>
      <c r="D40" s="54"/>
      <c r="E40" s="54"/>
      <c r="F40" s="57"/>
      <c r="G40" s="53"/>
      <c r="H40" s="56"/>
      <c r="I40" s="54"/>
      <c r="J40" s="57"/>
      <c r="K40" s="57"/>
      <c r="L40" s="53">
        <v>10.5</v>
      </c>
      <c r="M40" s="54">
        <v>1022</v>
      </c>
    </row>
    <row r="41" spans="1:23" ht="15.75" customHeight="1" x14ac:dyDescent="0.35">
      <c r="A41" s="52">
        <v>45670</v>
      </c>
      <c r="B41" s="53">
        <v>11</v>
      </c>
      <c r="C41" s="54">
        <v>182</v>
      </c>
      <c r="D41" s="54"/>
      <c r="E41" s="54"/>
      <c r="F41" s="57"/>
      <c r="G41" s="53"/>
      <c r="H41" s="56"/>
      <c r="I41" s="54"/>
      <c r="J41" s="57"/>
      <c r="K41" s="57"/>
      <c r="L41" s="53"/>
      <c r="M41" s="54"/>
    </row>
    <row r="42" spans="1:23" ht="15.75" customHeight="1" x14ac:dyDescent="0.35">
      <c r="A42" s="52">
        <v>45671</v>
      </c>
      <c r="B42" s="53"/>
      <c r="C42" s="54"/>
      <c r="D42" s="54"/>
      <c r="E42" s="54"/>
      <c r="F42" s="57"/>
      <c r="G42" s="53">
        <v>10</v>
      </c>
      <c r="H42" s="56">
        <v>250.8</v>
      </c>
      <c r="I42" s="54"/>
      <c r="J42" s="54"/>
      <c r="K42" s="57"/>
      <c r="L42" s="53"/>
      <c r="M42" s="54"/>
    </row>
    <row r="43" spans="1:23" ht="15.75" customHeight="1" x14ac:dyDescent="0.35">
      <c r="A43" s="52">
        <v>45672</v>
      </c>
      <c r="B43" s="53"/>
      <c r="C43" s="54"/>
      <c r="D43" s="54"/>
      <c r="E43" s="54"/>
      <c r="F43" s="57"/>
      <c r="G43" s="53">
        <v>10</v>
      </c>
      <c r="H43" s="56">
        <v>0</v>
      </c>
      <c r="I43" s="54"/>
      <c r="J43" s="57"/>
      <c r="K43" s="57"/>
      <c r="L43" s="53"/>
      <c r="M43" s="54"/>
    </row>
    <row r="44" spans="1:23" ht="15.75" customHeight="1" x14ac:dyDescent="0.35">
      <c r="A44" s="52">
        <v>45673</v>
      </c>
      <c r="B44" s="53"/>
      <c r="C44" s="54"/>
      <c r="D44" s="54"/>
      <c r="E44" s="54"/>
      <c r="F44" s="57"/>
      <c r="G44" s="53">
        <v>5.5</v>
      </c>
      <c r="H44" s="56">
        <v>80</v>
      </c>
      <c r="I44" s="54"/>
      <c r="J44" s="57"/>
      <c r="K44" s="57"/>
      <c r="L44" s="53">
        <v>5</v>
      </c>
      <c r="M44" s="54">
        <v>0</v>
      </c>
    </row>
    <row r="45" spans="1:23" ht="15.75" customHeight="1" x14ac:dyDescent="0.35">
      <c r="A45" s="52">
        <v>45674</v>
      </c>
      <c r="B45" s="53">
        <v>11</v>
      </c>
      <c r="C45" s="54">
        <v>112</v>
      </c>
      <c r="D45" s="54"/>
      <c r="E45" s="54"/>
      <c r="F45" s="57"/>
      <c r="G45" s="65"/>
      <c r="H45" s="56"/>
      <c r="I45" s="54"/>
      <c r="J45" s="57"/>
      <c r="K45" s="57"/>
      <c r="L45" s="53"/>
      <c r="M45" s="54"/>
    </row>
    <row r="46" spans="1:23" ht="15.75" customHeight="1" x14ac:dyDescent="0.35">
      <c r="A46" s="52">
        <v>45675</v>
      </c>
      <c r="B46" s="53"/>
      <c r="C46" s="54"/>
      <c r="D46" s="54"/>
      <c r="E46" s="54"/>
      <c r="F46" s="57"/>
      <c r="G46" s="65"/>
      <c r="H46" s="56"/>
      <c r="I46" s="54"/>
      <c r="J46" s="57"/>
      <c r="K46" s="57"/>
      <c r="L46" s="53">
        <v>10.5</v>
      </c>
      <c r="M46" s="54">
        <v>866.5</v>
      </c>
    </row>
    <row r="47" spans="1:23" ht="15.75" customHeight="1" x14ac:dyDescent="0.35">
      <c r="A47" s="52">
        <v>45676</v>
      </c>
      <c r="B47" s="53"/>
      <c r="C47" s="54"/>
      <c r="D47" s="54"/>
      <c r="E47" s="54"/>
      <c r="F47" s="57"/>
      <c r="G47" s="53">
        <v>5</v>
      </c>
      <c r="H47" s="56">
        <v>0</v>
      </c>
      <c r="I47" s="54"/>
      <c r="J47" s="54"/>
      <c r="K47" s="57"/>
      <c r="L47" s="65">
        <v>5.5</v>
      </c>
      <c r="M47" s="54">
        <v>0</v>
      </c>
    </row>
    <row r="48" spans="1:23" ht="15.75" customHeight="1" x14ac:dyDescent="0.35">
      <c r="A48" s="52">
        <v>45677</v>
      </c>
      <c r="B48" s="53">
        <v>11</v>
      </c>
      <c r="C48" s="54">
        <v>182</v>
      </c>
      <c r="E48" s="54"/>
      <c r="F48" s="57"/>
      <c r="G48" s="53"/>
      <c r="H48" s="56"/>
      <c r="I48" s="54"/>
      <c r="J48" s="57"/>
      <c r="K48" s="57"/>
      <c r="L48" s="53"/>
      <c r="M48" s="54"/>
    </row>
    <row r="49" spans="1:24" ht="15.75" customHeight="1" x14ac:dyDescent="0.35">
      <c r="A49" s="52">
        <v>45678</v>
      </c>
      <c r="B49" s="53"/>
      <c r="C49" s="54"/>
      <c r="D49" s="54"/>
      <c r="E49" s="54"/>
      <c r="F49" s="57"/>
      <c r="G49" s="53">
        <v>10</v>
      </c>
      <c r="H49" s="56">
        <v>0</v>
      </c>
      <c r="I49" s="54"/>
      <c r="J49" s="57"/>
      <c r="K49" s="57"/>
      <c r="L49" s="53"/>
      <c r="M49" s="54"/>
      <c r="N49" s="54"/>
    </row>
    <row r="50" spans="1:24" ht="15.75" customHeight="1" x14ac:dyDescent="0.35">
      <c r="A50" s="52">
        <v>45679</v>
      </c>
      <c r="B50" s="53"/>
      <c r="C50" s="54"/>
      <c r="D50" s="54"/>
      <c r="E50" s="54"/>
      <c r="F50" s="57"/>
      <c r="G50" s="53"/>
      <c r="H50" s="56"/>
      <c r="I50" s="54"/>
      <c r="J50" s="57"/>
      <c r="K50" s="57"/>
      <c r="L50" s="53">
        <v>10.5</v>
      </c>
      <c r="M50" s="54">
        <v>0</v>
      </c>
    </row>
    <row r="51" spans="1:24" ht="15.75" customHeight="1" x14ac:dyDescent="0.35">
      <c r="A51" s="52">
        <v>45680</v>
      </c>
      <c r="B51" s="53"/>
      <c r="C51" s="54"/>
      <c r="D51" s="54"/>
      <c r="E51" s="54"/>
      <c r="F51" s="57"/>
      <c r="G51" s="65">
        <v>5.5</v>
      </c>
      <c r="H51" s="56">
        <v>154</v>
      </c>
      <c r="I51" s="54"/>
      <c r="J51" s="54"/>
      <c r="K51" s="57"/>
      <c r="L51" s="65">
        <v>5</v>
      </c>
      <c r="M51" s="54">
        <v>0</v>
      </c>
    </row>
    <row r="52" spans="1:24" ht="15.75" customHeight="1" x14ac:dyDescent="0.35">
      <c r="A52" s="52">
        <v>45681</v>
      </c>
      <c r="B52" s="53">
        <v>10.5</v>
      </c>
      <c r="C52" s="54">
        <v>0</v>
      </c>
      <c r="D52" s="54"/>
      <c r="E52" s="54"/>
      <c r="F52" s="57"/>
      <c r="G52" s="53"/>
      <c r="H52" s="56"/>
      <c r="I52" s="54"/>
      <c r="J52" s="57"/>
      <c r="K52" s="57"/>
      <c r="L52" s="53"/>
      <c r="M52" s="54"/>
    </row>
    <row r="53" spans="1:24" ht="15.75" customHeight="1" x14ac:dyDescent="0.35">
      <c r="A53" s="52">
        <v>45682</v>
      </c>
      <c r="B53" s="53"/>
      <c r="C53" s="54"/>
      <c r="D53" s="54"/>
      <c r="E53" s="54"/>
      <c r="F53" s="57"/>
      <c r="G53" s="65">
        <v>10.5</v>
      </c>
      <c r="H53" s="56">
        <v>175</v>
      </c>
      <c r="I53" s="54"/>
      <c r="J53" s="57"/>
      <c r="K53" s="57"/>
      <c r="L53" s="53"/>
      <c r="M53" s="54"/>
    </row>
    <row r="54" spans="1:24" ht="15.75" customHeight="1" x14ac:dyDescent="0.35">
      <c r="A54" s="52">
        <v>45683</v>
      </c>
      <c r="B54" s="53"/>
      <c r="C54" s="54"/>
      <c r="D54" s="54"/>
      <c r="E54" s="54"/>
      <c r="F54" s="57"/>
      <c r="G54" s="53"/>
      <c r="H54" s="56"/>
      <c r="I54" s="54"/>
      <c r="J54" s="57"/>
      <c r="K54" s="57"/>
      <c r="L54" s="53">
        <v>11</v>
      </c>
      <c r="M54" s="54">
        <v>0</v>
      </c>
    </row>
    <row r="55" spans="1:24" ht="15.75" customHeight="1" x14ac:dyDescent="0.35">
      <c r="A55" s="52">
        <v>45684</v>
      </c>
      <c r="B55" s="53"/>
      <c r="C55" s="54"/>
      <c r="D55" s="54"/>
      <c r="E55" s="54"/>
      <c r="F55" s="57"/>
      <c r="G55" s="53"/>
      <c r="H55" s="56"/>
      <c r="I55" s="54"/>
      <c r="J55" s="60"/>
      <c r="K55" s="57"/>
      <c r="L55" s="53"/>
      <c r="M55" s="54"/>
    </row>
    <row r="56" spans="1:24" ht="15.75" customHeight="1" x14ac:dyDescent="0.35">
      <c r="A56" s="52">
        <v>45685</v>
      </c>
      <c r="B56" s="53"/>
      <c r="C56" s="54"/>
      <c r="D56" s="54"/>
      <c r="E56" s="54"/>
      <c r="F56" s="57"/>
      <c r="G56" s="53">
        <v>6</v>
      </c>
      <c r="H56" s="56">
        <v>220</v>
      </c>
      <c r="I56" s="54"/>
      <c r="J56" s="57"/>
      <c r="K56" s="57"/>
      <c r="L56" s="53">
        <v>4.5</v>
      </c>
      <c r="M56" s="54">
        <v>0</v>
      </c>
    </row>
    <row r="57" spans="1:24" ht="15.75" customHeight="1" x14ac:dyDescent="0.35">
      <c r="A57" s="52">
        <v>45686</v>
      </c>
      <c r="B57" s="53"/>
      <c r="C57" s="54"/>
      <c r="D57" s="54"/>
      <c r="E57" s="54"/>
      <c r="F57" s="57"/>
      <c r="G57" s="53"/>
      <c r="H57" s="56"/>
      <c r="I57" s="54"/>
      <c r="J57" s="57"/>
      <c r="K57" s="57"/>
      <c r="L57" s="66"/>
      <c r="M57" s="54"/>
    </row>
    <row r="58" spans="1:24" ht="15.75" customHeight="1" x14ac:dyDescent="0.35">
      <c r="A58" s="52">
        <v>45687</v>
      </c>
      <c r="B58" s="53"/>
      <c r="C58" s="54"/>
      <c r="D58" s="54"/>
      <c r="E58" s="54"/>
      <c r="F58" s="57"/>
      <c r="G58" s="53"/>
      <c r="H58" s="56"/>
      <c r="I58" s="54"/>
      <c r="J58" s="57"/>
      <c r="K58" s="57"/>
      <c r="L58" s="66"/>
      <c r="M58" s="54"/>
      <c r="V58">
        <v>150</v>
      </c>
      <c r="X58">
        <v>300</v>
      </c>
    </row>
    <row r="59" spans="1:24" ht="15.75" customHeight="1" x14ac:dyDescent="0.35">
      <c r="A59" s="52">
        <v>45688</v>
      </c>
      <c r="B59" s="53"/>
      <c r="C59" s="54"/>
      <c r="D59" s="54"/>
      <c r="E59" s="54"/>
      <c r="F59" s="57"/>
      <c r="G59" s="53"/>
      <c r="H59" s="56"/>
      <c r="I59" s="54"/>
      <c r="J59" s="57"/>
      <c r="K59" s="57"/>
      <c r="L59" s="66"/>
      <c r="M59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D36B-8C0F-4555-8F67-08F91EE4D676}">
  <dimension ref="A1:X59"/>
  <sheetViews>
    <sheetView zoomScale="87" zoomScaleNormal="87" workbookViewId="0">
      <selection sqref="A1:XFD1048576"/>
    </sheetView>
  </sheetViews>
  <sheetFormatPr defaultColWidth="12.6328125" defaultRowHeight="14.5" x14ac:dyDescent="0.35"/>
  <cols>
    <col min="1" max="1" width="20.54296875" customWidth="1"/>
    <col min="2" max="2" width="12.36328125" customWidth="1"/>
    <col min="3" max="3" width="12.26953125" bestFit="1" customWidth="1"/>
    <col min="4" max="4" width="9.26953125" customWidth="1"/>
    <col min="5" max="5" width="11.26953125" customWidth="1"/>
    <col min="6" max="6" width="2.1796875" customWidth="1"/>
    <col min="7" max="7" width="10.36328125" customWidth="1"/>
    <col min="8" max="8" width="12.26953125" style="4" bestFit="1" customWidth="1"/>
    <col min="9" max="9" width="9.453125" customWidth="1"/>
    <col min="10" max="10" width="10.6328125" customWidth="1"/>
    <col min="11" max="11" width="2.26953125" customWidth="1"/>
    <col min="12" max="12" width="13.54296875" bestFit="1" customWidth="1"/>
    <col min="13" max="13" width="12.81640625" customWidth="1"/>
    <col min="14" max="14" width="9.6328125" customWidth="1"/>
    <col min="15" max="15" width="9.90625" customWidth="1"/>
    <col min="16" max="16" width="2.453125" customWidth="1"/>
    <col min="17" max="17" width="11.7265625" style="7" customWidth="1"/>
    <col min="18" max="18" width="10.90625" style="7" customWidth="1"/>
    <col min="19" max="19" width="8.36328125" style="7" customWidth="1"/>
    <col min="20" max="20" width="2.1796875" customWidth="1"/>
    <col min="21" max="21" width="11.26953125" customWidth="1"/>
    <col min="22" max="22" width="12.26953125" customWidth="1"/>
    <col min="23" max="23" width="8.08984375" customWidth="1"/>
    <col min="24" max="24" width="9.26953125" customWidth="1"/>
    <col min="25" max="25" width="2.7265625" customWidth="1"/>
    <col min="26" max="26" width="10.08984375" customWidth="1"/>
  </cols>
  <sheetData>
    <row r="1" spans="1:21" ht="15.75" customHeight="1" x14ac:dyDescent="0.35">
      <c r="A1" s="1" t="s">
        <v>32</v>
      </c>
      <c r="C1" s="2"/>
      <c r="D1" s="2"/>
      <c r="E1" s="3" t="s">
        <v>0</v>
      </c>
      <c r="L1" s="5"/>
      <c r="M1" s="6"/>
      <c r="N1" s="6"/>
      <c r="U1" s="5"/>
    </row>
    <row r="2" spans="1:21" ht="15.75" customHeight="1" x14ac:dyDescent="0.35">
      <c r="A2" s="8"/>
      <c r="B2" s="9"/>
      <c r="C2" s="2"/>
      <c r="D2" s="2"/>
      <c r="L2" s="5"/>
      <c r="M2" s="6"/>
      <c r="N2" s="6"/>
      <c r="U2" s="5"/>
    </row>
    <row r="3" spans="1:21" ht="15.75" customHeight="1" x14ac:dyDescent="0.35">
      <c r="A3" s="8"/>
      <c r="B3" s="10"/>
      <c r="C3" s="2"/>
      <c r="D3" s="2"/>
      <c r="L3" s="5"/>
      <c r="M3" s="6"/>
      <c r="N3" s="6"/>
      <c r="U3" s="5"/>
    </row>
    <row r="4" spans="1:21" ht="15.75" customHeight="1" x14ac:dyDescent="0.35">
      <c r="A4" s="3" t="s">
        <v>1</v>
      </c>
      <c r="B4" s="11">
        <f>B13+G13+L13+Q13</f>
        <v>271</v>
      </c>
      <c r="C4" s="2"/>
      <c r="D4" s="2"/>
      <c r="L4" s="5"/>
      <c r="M4" s="6"/>
      <c r="N4" s="6"/>
      <c r="U4" s="5"/>
    </row>
    <row r="5" spans="1:21" ht="15.75" customHeight="1" x14ac:dyDescent="0.35">
      <c r="A5" s="3" t="s">
        <v>2</v>
      </c>
      <c r="B5" s="12">
        <f>B14+G14+L14+Q14+U14</f>
        <v>2714</v>
      </c>
      <c r="C5" s="2"/>
      <c r="D5" s="2"/>
      <c r="L5" s="5"/>
      <c r="M5" s="6"/>
      <c r="N5" s="6"/>
      <c r="U5" s="5"/>
    </row>
    <row r="6" spans="1:21" ht="15.75" customHeight="1" x14ac:dyDescent="0.35">
      <c r="A6" s="8" t="s">
        <v>3</v>
      </c>
      <c r="B6" s="13">
        <f>B15+G15+L15+Q15+U15</f>
        <v>0</v>
      </c>
      <c r="C6" s="2"/>
      <c r="D6" s="2"/>
      <c r="L6" s="5"/>
      <c r="M6" s="6"/>
      <c r="N6" s="6"/>
      <c r="U6" s="5"/>
    </row>
    <row r="7" spans="1:21" ht="15.75" customHeight="1" x14ac:dyDescent="0.35">
      <c r="A7" s="3" t="s">
        <v>4</v>
      </c>
      <c r="B7" s="14">
        <f>B5+B6+C7</f>
        <v>2886</v>
      </c>
      <c r="C7" s="15">
        <f>C16+H16+M16+R17+V16</f>
        <v>172</v>
      </c>
      <c r="D7" s="15"/>
      <c r="E7" s="16"/>
      <c r="L7" s="5"/>
      <c r="M7" s="6"/>
      <c r="N7" s="6"/>
      <c r="U7" s="5"/>
    </row>
    <row r="8" spans="1:21" ht="15.75" customHeight="1" x14ac:dyDescent="0.35">
      <c r="A8" s="3" t="s">
        <v>5</v>
      </c>
      <c r="B8" s="14">
        <f>B21+G21+L21+Q21</f>
        <v>3433.6</v>
      </c>
      <c r="C8" s="2"/>
      <c r="D8" s="2"/>
      <c r="L8" s="5"/>
      <c r="M8" s="6"/>
      <c r="N8" s="6"/>
      <c r="U8" s="5"/>
    </row>
    <row r="9" spans="1:21" ht="15.75" customHeight="1" x14ac:dyDescent="0.35">
      <c r="A9" s="3"/>
      <c r="B9" s="17"/>
      <c r="L9" s="5"/>
      <c r="M9" s="6"/>
      <c r="N9" s="6"/>
      <c r="U9" s="5"/>
    </row>
    <row r="10" spans="1:21" ht="15.75" customHeight="1" x14ac:dyDescent="0.35">
      <c r="A10" s="3" t="s">
        <v>6</v>
      </c>
      <c r="B10" s="14">
        <f>B8+B22+L25</f>
        <v>3633.6</v>
      </c>
      <c r="C10" s="2"/>
      <c r="D10" s="2"/>
      <c r="L10" s="5"/>
      <c r="M10" s="6"/>
      <c r="N10" s="6"/>
      <c r="U10" s="5"/>
    </row>
    <row r="11" spans="1:21" ht="15.75" customHeight="1" x14ac:dyDescent="0.35">
      <c r="B11" s="18"/>
      <c r="C11" s="2"/>
      <c r="D11" s="2"/>
      <c r="G11" s="18"/>
      <c r="L11" s="5"/>
      <c r="M11" s="6"/>
      <c r="N11" s="6"/>
      <c r="Q11" s="19"/>
      <c r="U11" s="5"/>
    </row>
    <row r="12" spans="1:21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33</v>
      </c>
      <c r="U12" s="21" t="s">
        <v>11</v>
      </c>
    </row>
    <row r="13" spans="1:21" ht="15.75" customHeight="1" x14ac:dyDescent="0.35">
      <c r="A13" s="18" t="s">
        <v>12</v>
      </c>
      <c r="B13" s="22">
        <f>SUM(B29:B61)</f>
        <v>80</v>
      </c>
      <c r="C13" s="2"/>
      <c r="D13" s="2"/>
      <c r="G13" s="23">
        <f>SUM(G29:G59)</f>
        <v>50</v>
      </c>
      <c r="H13" s="20"/>
      <c r="I13" s="5"/>
      <c r="J13" s="5"/>
      <c r="L13" s="23">
        <f>SUM(L29:L61)</f>
        <v>124.5</v>
      </c>
      <c r="M13" s="6"/>
      <c r="N13" s="6"/>
      <c r="Q13" s="23">
        <f>SUM(Q27:Q59)</f>
        <v>16.5</v>
      </c>
      <c r="R13" s="20"/>
      <c r="S13" s="5"/>
      <c r="U13" s="23"/>
    </row>
    <row r="14" spans="1:21" ht="15.75" customHeight="1" x14ac:dyDescent="0.35">
      <c r="A14" s="3" t="s">
        <v>2</v>
      </c>
      <c r="B14" s="24">
        <f>SUM(C29:C59)</f>
        <v>1047.5</v>
      </c>
      <c r="C14" s="2"/>
      <c r="D14" s="2"/>
      <c r="G14" s="25">
        <f>SUM(H29:H59)</f>
        <v>185.3</v>
      </c>
      <c r="H14" s="20"/>
      <c r="I14" s="5"/>
      <c r="J14" s="5"/>
      <c r="L14" s="25">
        <f>SUM(M29:M59)</f>
        <v>1241.2</v>
      </c>
      <c r="M14" s="6"/>
      <c r="N14" s="6"/>
      <c r="Q14" s="25">
        <f>SUM(R29:R59)</f>
        <v>0</v>
      </c>
      <c r="R14" s="20"/>
      <c r="S14" s="5"/>
      <c r="U14" s="25">
        <f>SUM(V29:V59)</f>
        <v>240</v>
      </c>
    </row>
    <row r="15" spans="1:21" ht="15.75" customHeight="1" x14ac:dyDescent="0.35">
      <c r="A15" s="21" t="s">
        <v>3</v>
      </c>
      <c r="B15" s="25">
        <f>SUM(D29:D59)</f>
        <v>0</v>
      </c>
      <c r="C15" s="2"/>
      <c r="D15" s="2"/>
      <c r="G15" s="25">
        <f>SUM(I29:I59)</f>
        <v>0</v>
      </c>
      <c r="H15" s="20"/>
      <c r="I15" s="5"/>
      <c r="J15" s="5"/>
      <c r="L15" s="25">
        <f>SUM(N29:N59)</f>
        <v>0</v>
      </c>
      <c r="M15" s="6"/>
      <c r="N15" s="6"/>
      <c r="Q15" s="25">
        <f>SUM(S29:S59)</f>
        <v>0</v>
      </c>
      <c r="R15" s="20"/>
      <c r="S15" s="5"/>
      <c r="U15" s="25">
        <f>SUM(W29:W59)</f>
        <v>0</v>
      </c>
    </row>
    <row r="16" spans="1:21" ht="15.75" customHeight="1" x14ac:dyDescent="0.35">
      <c r="A16" s="18" t="s">
        <v>13</v>
      </c>
      <c r="B16" s="25">
        <f>B14+B15</f>
        <v>1047.5</v>
      </c>
      <c r="C16" s="26">
        <f>SUM(E29:E59)</f>
        <v>172</v>
      </c>
      <c r="D16" s="26"/>
      <c r="E16" s="27"/>
      <c r="G16" s="25">
        <f>G14+G15+H16+I16</f>
        <v>185.3</v>
      </c>
      <c r="H16" s="28">
        <f>SUM(J29:J60)</f>
        <v>0</v>
      </c>
      <c r="I16" s="29"/>
      <c r="J16" s="30"/>
      <c r="L16" s="25">
        <f>L14+L15+M16+N16</f>
        <v>1241.2</v>
      </c>
      <c r="M16" s="26">
        <f>SUM(O29:O59)</f>
        <v>0</v>
      </c>
      <c r="N16" s="31"/>
      <c r="O16" s="30"/>
      <c r="Q16" s="25">
        <f>Q14+Q15</f>
        <v>0</v>
      </c>
      <c r="R16" s="28">
        <f>SUM(T29:T60)</f>
        <v>0</v>
      </c>
      <c r="S16" s="26"/>
      <c r="U16" s="25">
        <f>U14+U15</f>
        <v>240</v>
      </c>
    </row>
    <row r="17" spans="1:24" ht="15.75" customHeight="1" x14ac:dyDescent="0.35">
      <c r="A17" s="5" t="s">
        <v>14</v>
      </c>
      <c r="B17" s="24">
        <v>12</v>
      </c>
      <c r="C17" s="2"/>
      <c r="D17" s="2"/>
      <c r="G17" s="25">
        <v>11</v>
      </c>
      <c r="H17" s="20"/>
      <c r="I17" s="5"/>
      <c r="J17" s="5"/>
      <c r="L17" s="25">
        <v>12</v>
      </c>
      <c r="M17" s="6"/>
      <c r="N17" s="6"/>
      <c r="Q17" s="25">
        <v>10</v>
      </c>
      <c r="R17" s="20"/>
      <c r="S17" s="5"/>
      <c r="U17" s="25"/>
      <c r="V17" s="5"/>
      <c r="W17" s="5"/>
      <c r="X17" s="5"/>
    </row>
    <row r="18" spans="1:24" ht="15.75" customHeight="1" x14ac:dyDescent="0.35">
      <c r="A18" s="5" t="s">
        <v>15</v>
      </c>
      <c r="B18" s="32">
        <v>10</v>
      </c>
      <c r="C18" s="6">
        <v>10</v>
      </c>
      <c r="D18" s="6"/>
      <c r="G18" s="33">
        <v>10</v>
      </c>
      <c r="H18" s="20">
        <v>10</v>
      </c>
      <c r="I18" s="5"/>
      <c r="J18" s="5"/>
      <c r="L18" s="33">
        <v>10</v>
      </c>
      <c r="M18" s="6">
        <v>10</v>
      </c>
      <c r="N18" s="6"/>
      <c r="O18" s="5"/>
      <c r="Q18" s="33">
        <v>10</v>
      </c>
      <c r="R18" s="20">
        <v>10</v>
      </c>
      <c r="S18" s="5"/>
      <c r="U18" s="33"/>
      <c r="V18" s="5"/>
      <c r="W18" s="5"/>
      <c r="X18" s="5"/>
    </row>
    <row r="19" spans="1:24" ht="15.75" customHeight="1" x14ac:dyDescent="0.35">
      <c r="A19" s="5" t="s">
        <v>16</v>
      </c>
      <c r="B19" s="24">
        <f>B17*B13</f>
        <v>960</v>
      </c>
      <c r="D19" s="6"/>
      <c r="G19" s="25">
        <f>G17*G13</f>
        <v>550</v>
      </c>
      <c r="H19" s="20"/>
      <c r="I19" s="5"/>
      <c r="J19" s="5"/>
      <c r="L19" s="25">
        <f>L17*L13</f>
        <v>1494</v>
      </c>
      <c r="M19" s="6"/>
      <c r="N19" s="6"/>
      <c r="O19" s="5"/>
      <c r="Q19" s="25">
        <f>Q17*Q13</f>
        <v>165</v>
      </c>
      <c r="R19" s="20"/>
      <c r="S19" s="5"/>
      <c r="U19" s="25"/>
      <c r="V19" s="5"/>
      <c r="W19" s="5"/>
      <c r="X19" s="5"/>
    </row>
    <row r="20" spans="1:24" ht="15.75" customHeight="1" x14ac:dyDescent="0.35">
      <c r="A20" s="5" t="s">
        <v>17</v>
      </c>
      <c r="B20" s="25">
        <f>B16*(B18/100)+C20</f>
        <v>121.95</v>
      </c>
      <c r="C20" s="34">
        <f>C16*(C18/100)</f>
        <v>17.2</v>
      </c>
      <c r="D20" s="34"/>
      <c r="E20" s="31" t="s">
        <v>18</v>
      </c>
      <c r="G20" s="25">
        <f>G16*(G18/100)</f>
        <v>18.53</v>
      </c>
      <c r="H20" s="28">
        <f>H16*(H18/100)</f>
        <v>0</v>
      </c>
      <c r="I20" s="29"/>
      <c r="J20" s="31"/>
      <c r="L20" s="25">
        <f>L16*(L18/100)</f>
        <v>124.12</v>
      </c>
      <c r="M20" s="34">
        <f>M16*(M18/100)</f>
        <v>0</v>
      </c>
      <c r="N20" s="6"/>
      <c r="O20" s="31"/>
      <c r="Q20" s="25">
        <f>Q16*(Q18/100)+R20</f>
        <v>0</v>
      </c>
      <c r="R20" s="28">
        <f t="shared" ref="R20" si="0">R16*(R18/100)</f>
        <v>0</v>
      </c>
      <c r="S20" s="26"/>
      <c r="U20" s="25"/>
      <c r="V20" s="5"/>
      <c r="W20" s="5"/>
      <c r="X20" s="5"/>
    </row>
    <row r="21" spans="1:24" ht="15.75" customHeight="1" x14ac:dyDescent="0.35">
      <c r="A21" s="5" t="s">
        <v>19</v>
      </c>
      <c r="B21" s="24">
        <f>B19+B20</f>
        <v>1081.95</v>
      </c>
      <c r="C21" s="6"/>
      <c r="D21" s="6"/>
      <c r="G21" s="25">
        <f>G19+G20</f>
        <v>568.53</v>
      </c>
      <c r="H21" s="20"/>
      <c r="I21" s="5"/>
      <c r="J21" s="5"/>
      <c r="L21" s="25">
        <f>L19+L20</f>
        <v>1618.12</v>
      </c>
      <c r="M21" s="6"/>
      <c r="N21" s="6"/>
      <c r="O21" s="5"/>
      <c r="Q21" s="25">
        <f>Q19+Q20</f>
        <v>165</v>
      </c>
      <c r="R21" s="20"/>
      <c r="S21" s="5"/>
      <c r="U21" s="25"/>
      <c r="V21" s="5"/>
      <c r="W21" s="5"/>
      <c r="X21" s="5"/>
    </row>
    <row r="22" spans="1:24" ht="15.75" customHeight="1" x14ac:dyDescent="0.35">
      <c r="A22" s="35" t="s">
        <v>20</v>
      </c>
      <c r="B22" s="36"/>
      <c r="C22" s="6"/>
      <c r="D22" s="6"/>
      <c r="G22" s="24"/>
      <c r="H22" s="20"/>
      <c r="I22" s="5"/>
      <c r="J22" s="5"/>
      <c r="L22" s="24"/>
      <c r="M22" s="6"/>
      <c r="N22" s="6"/>
      <c r="O22" s="5"/>
      <c r="Q22" s="24"/>
      <c r="R22" s="20"/>
      <c r="S22" s="5"/>
      <c r="U22" s="24"/>
      <c r="V22" s="5"/>
      <c r="W22" s="5"/>
      <c r="X22" s="5"/>
    </row>
    <row r="23" spans="1:24" ht="15.75" customHeight="1" x14ac:dyDescent="0.35">
      <c r="A23" s="35" t="s">
        <v>21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20"/>
      <c r="S23" s="5"/>
      <c r="V23" s="5"/>
      <c r="W23" s="5"/>
      <c r="X23" s="5"/>
    </row>
    <row r="24" spans="1:24" ht="15.75" customHeight="1" x14ac:dyDescent="0.35">
      <c r="A24" s="35" t="s">
        <v>22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20"/>
      <c r="S24" s="5"/>
      <c r="U24" s="24"/>
      <c r="V24" s="5"/>
      <c r="W24" s="5"/>
      <c r="X24" s="5"/>
    </row>
    <row r="25" spans="1:24" x14ac:dyDescent="0.35">
      <c r="A25" s="5" t="s">
        <v>23</v>
      </c>
      <c r="B25" s="24"/>
      <c r="C25" s="37"/>
      <c r="D25" s="37"/>
      <c r="G25" s="24"/>
      <c r="H25" s="38"/>
      <c r="I25" s="39"/>
      <c r="J25" s="5"/>
      <c r="L25" s="40">
        <v>200</v>
      </c>
      <c r="M25" s="37"/>
      <c r="N25" s="37"/>
      <c r="O25" s="5"/>
      <c r="Q25" s="24"/>
      <c r="R25" s="38"/>
      <c r="S25" s="39"/>
      <c r="U25" s="24"/>
      <c r="V25" s="5"/>
      <c r="W25" s="5"/>
      <c r="X25" s="5"/>
    </row>
    <row r="26" spans="1:24" x14ac:dyDescent="0.35">
      <c r="A26" s="5" t="s">
        <v>24</v>
      </c>
      <c r="B26" s="41">
        <f>B21-B23+B25</f>
        <v>1081.95</v>
      </c>
      <c r="C26" s="6"/>
      <c r="D26" s="6"/>
      <c r="G26" s="42">
        <f>G21-G24+G25</f>
        <v>568.53</v>
      </c>
      <c r="H26" s="20"/>
      <c r="I26" s="5"/>
      <c r="J26" s="5"/>
      <c r="L26" s="42">
        <f>L21+L25</f>
        <v>1818.12</v>
      </c>
      <c r="O26" s="5"/>
      <c r="Q26" s="42">
        <f>Q21-Q24+Q25</f>
        <v>165</v>
      </c>
      <c r="R26" s="20"/>
      <c r="S26" s="5"/>
      <c r="U26" s="43"/>
      <c r="V26" s="5"/>
      <c r="W26" s="5"/>
      <c r="X26" s="5"/>
    </row>
    <row r="27" spans="1:24" ht="15.75" customHeight="1" x14ac:dyDescent="0.35">
      <c r="A27" s="5"/>
      <c r="B27" s="5"/>
      <c r="C27" s="6"/>
      <c r="D27" s="6"/>
      <c r="G27" s="5"/>
      <c r="H27" s="20"/>
      <c r="I27" s="5"/>
      <c r="J27" s="5"/>
      <c r="L27" s="5"/>
      <c r="M27" s="6"/>
      <c r="N27" s="6"/>
      <c r="O27" s="5"/>
      <c r="Q27" s="44"/>
      <c r="R27" s="44"/>
      <c r="U27" s="5"/>
      <c r="V27" s="5"/>
      <c r="W27" s="5"/>
      <c r="X27" s="5"/>
    </row>
    <row r="28" spans="1:24" ht="36" customHeight="1" x14ac:dyDescent="0.35">
      <c r="A28" s="5" t="s">
        <v>25</v>
      </c>
      <c r="B28" s="45" t="s">
        <v>26</v>
      </c>
      <c r="C28" s="46" t="s">
        <v>27</v>
      </c>
      <c r="D28" s="46" t="s">
        <v>28</v>
      </c>
      <c r="E28" s="47" t="s">
        <v>29</v>
      </c>
      <c r="F28" s="48" t="s">
        <v>30</v>
      </c>
      <c r="G28" s="45" t="s">
        <v>26</v>
      </c>
      <c r="H28" s="46" t="s">
        <v>27</v>
      </c>
      <c r="I28" s="46" t="s">
        <v>28</v>
      </c>
      <c r="J28" s="47" t="s">
        <v>29</v>
      </c>
      <c r="L28" s="45" t="s">
        <v>26</v>
      </c>
      <c r="M28" s="49" t="s">
        <v>27</v>
      </c>
      <c r="N28" s="46" t="s">
        <v>28</v>
      </c>
      <c r="O28" s="47" t="s">
        <v>29</v>
      </c>
      <c r="Q28" s="45" t="s">
        <v>26</v>
      </c>
      <c r="R28" s="50"/>
      <c r="S28" s="51"/>
      <c r="U28" s="45"/>
      <c r="V28" s="49" t="s">
        <v>27</v>
      </c>
      <c r="W28" s="46" t="s">
        <v>28</v>
      </c>
      <c r="X28" s="47" t="s">
        <v>29</v>
      </c>
    </row>
    <row r="29" spans="1:24" ht="15.75" customHeight="1" x14ac:dyDescent="0.35">
      <c r="A29" s="52">
        <v>45689</v>
      </c>
      <c r="B29" s="53"/>
      <c r="C29" s="54"/>
      <c r="D29" s="54"/>
      <c r="E29" s="54"/>
      <c r="F29" s="54"/>
      <c r="G29" s="55"/>
      <c r="H29" s="56"/>
      <c r="I29" s="54"/>
      <c r="J29" s="57"/>
      <c r="K29" s="57"/>
      <c r="L29" s="53">
        <v>9.5</v>
      </c>
      <c r="M29" s="54">
        <v>221.2</v>
      </c>
      <c r="N29" s="54"/>
      <c r="O29" s="54"/>
      <c r="P29" s="57"/>
      <c r="Q29" s="58"/>
      <c r="R29" s="59"/>
      <c r="S29" s="59"/>
      <c r="T29" s="57"/>
      <c r="U29" s="57"/>
      <c r="V29" s="57"/>
      <c r="W29" s="60"/>
      <c r="X29" s="57"/>
    </row>
    <row r="30" spans="1:24" ht="15.75" customHeight="1" x14ac:dyDescent="0.35">
      <c r="A30" s="52">
        <v>45690</v>
      </c>
      <c r="B30" s="53"/>
      <c r="C30" s="54"/>
      <c r="D30" s="54"/>
      <c r="E30" s="54"/>
      <c r="F30" s="54"/>
      <c r="G30" s="53"/>
      <c r="I30" s="54"/>
      <c r="J30" s="57"/>
      <c r="K30" s="57"/>
      <c r="L30" s="53">
        <v>10</v>
      </c>
      <c r="M30" s="54">
        <v>134</v>
      </c>
      <c r="N30" s="54"/>
      <c r="O30" s="54"/>
      <c r="P30" s="57"/>
      <c r="Q30" s="58"/>
      <c r="R30" s="59"/>
      <c r="S30" s="59"/>
      <c r="T30" s="57"/>
      <c r="U30" s="57"/>
      <c r="V30" s="57"/>
      <c r="W30" s="57"/>
      <c r="X30" s="57"/>
    </row>
    <row r="31" spans="1:24" ht="15.75" customHeight="1" x14ac:dyDescent="0.35">
      <c r="A31" s="52">
        <v>45691</v>
      </c>
      <c r="B31" s="53">
        <v>10</v>
      </c>
      <c r="C31" s="54">
        <v>0</v>
      </c>
      <c r="D31" s="54"/>
      <c r="E31" s="54"/>
      <c r="F31" s="57"/>
      <c r="G31" s="53"/>
      <c r="H31" s="61"/>
      <c r="I31" s="54"/>
      <c r="J31" s="57"/>
      <c r="K31" s="57"/>
      <c r="L31" s="53"/>
      <c r="M31" s="54"/>
      <c r="N31" s="54"/>
      <c r="O31" s="54"/>
      <c r="P31" s="57"/>
      <c r="Q31" s="58"/>
      <c r="R31" s="59"/>
      <c r="S31" s="59"/>
      <c r="T31" s="57"/>
      <c r="U31" s="57"/>
      <c r="V31" s="54"/>
      <c r="W31" s="54"/>
      <c r="X31" s="57"/>
    </row>
    <row r="32" spans="1:24" ht="15.75" customHeight="1" x14ac:dyDescent="0.35">
      <c r="A32" s="52">
        <v>45692</v>
      </c>
      <c r="B32" s="53">
        <v>10</v>
      </c>
      <c r="C32" s="54">
        <v>98</v>
      </c>
      <c r="D32" s="54"/>
      <c r="E32" s="54"/>
      <c r="F32" s="57"/>
      <c r="G32" s="62"/>
      <c r="H32" s="56"/>
      <c r="I32" s="63"/>
      <c r="J32" s="57"/>
      <c r="K32" s="57"/>
      <c r="L32" s="53"/>
      <c r="M32" s="54"/>
      <c r="N32" s="54"/>
      <c r="O32" s="54"/>
      <c r="P32" s="57"/>
      <c r="Q32" s="53">
        <v>2</v>
      </c>
      <c r="R32" s="59"/>
      <c r="S32" s="59"/>
      <c r="T32" s="57"/>
      <c r="U32" s="57"/>
      <c r="V32" s="54"/>
      <c r="W32" s="54"/>
      <c r="X32" s="57"/>
    </row>
    <row r="33" spans="1:23" ht="15.75" customHeight="1" x14ac:dyDescent="0.35">
      <c r="A33" s="52">
        <v>45693</v>
      </c>
      <c r="B33" s="53"/>
      <c r="C33" s="54"/>
      <c r="D33" s="54"/>
      <c r="E33" s="54"/>
      <c r="F33" s="57"/>
      <c r="G33" s="53"/>
      <c r="H33" s="56"/>
      <c r="I33" s="54"/>
      <c r="J33" s="57"/>
      <c r="K33" s="57"/>
      <c r="L33" s="53">
        <v>10</v>
      </c>
      <c r="M33" s="54">
        <v>0</v>
      </c>
      <c r="V33" s="54"/>
      <c r="W33" s="54"/>
    </row>
    <row r="34" spans="1:23" ht="15.75" customHeight="1" x14ac:dyDescent="0.35">
      <c r="A34" s="52">
        <v>45694</v>
      </c>
      <c r="B34" s="53"/>
      <c r="C34" s="54"/>
      <c r="D34" s="54"/>
      <c r="E34" s="54"/>
      <c r="F34" s="57"/>
      <c r="G34" s="53"/>
      <c r="H34" s="56"/>
      <c r="I34" s="54"/>
      <c r="J34" s="57"/>
      <c r="K34" s="57"/>
      <c r="L34" s="53">
        <v>10</v>
      </c>
      <c r="M34" s="54">
        <v>0</v>
      </c>
      <c r="V34" s="54"/>
      <c r="W34" s="54"/>
    </row>
    <row r="35" spans="1:23" ht="15.75" customHeight="1" x14ac:dyDescent="0.35">
      <c r="A35" s="52">
        <v>45695</v>
      </c>
      <c r="B35" s="53">
        <v>10</v>
      </c>
      <c r="C35" s="54">
        <v>0</v>
      </c>
      <c r="D35" s="54"/>
      <c r="E35" s="54"/>
      <c r="F35" s="57"/>
      <c r="G35" s="53"/>
      <c r="H35" s="56"/>
      <c r="I35" s="54"/>
      <c r="J35" s="57"/>
      <c r="K35" s="57"/>
      <c r="L35" s="53"/>
      <c r="M35" s="54"/>
      <c r="Q35" s="53">
        <v>9</v>
      </c>
      <c r="R35" s="54">
        <v>0</v>
      </c>
      <c r="V35" s="54"/>
      <c r="W35" s="54"/>
    </row>
    <row r="36" spans="1:23" ht="15.75" customHeight="1" x14ac:dyDescent="0.35">
      <c r="A36" s="52">
        <v>45696</v>
      </c>
      <c r="B36" s="53"/>
      <c r="C36" s="54"/>
      <c r="D36" s="54"/>
      <c r="E36" s="54"/>
      <c r="F36" s="57"/>
      <c r="G36" s="53"/>
      <c r="H36" s="56"/>
      <c r="I36" s="54"/>
      <c r="J36" s="57"/>
      <c r="K36" s="57"/>
      <c r="L36" s="53">
        <v>10</v>
      </c>
      <c r="M36" s="64">
        <v>0</v>
      </c>
      <c r="V36" s="54"/>
      <c r="W36" s="54"/>
    </row>
    <row r="37" spans="1:23" ht="15.75" customHeight="1" x14ac:dyDescent="0.35">
      <c r="A37" s="52">
        <v>45697</v>
      </c>
      <c r="B37" s="53"/>
      <c r="C37" s="54"/>
      <c r="D37" s="54"/>
      <c r="E37" s="54"/>
      <c r="F37" s="57"/>
      <c r="G37" s="53"/>
      <c r="H37" s="56"/>
      <c r="I37" s="54"/>
      <c r="K37" s="57"/>
      <c r="L37" s="53">
        <v>10</v>
      </c>
      <c r="M37" s="54">
        <v>0</v>
      </c>
    </row>
    <row r="38" spans="1:23" ht="15.75" customHeight="1" x14ac:dyDescent="0.35">
      <c r="A38" s="52">
        <v>45698</v>
      </c>
      <c r="B38" s="53">
        <v>10</v>
      </c>
      <c r="C38" s="54">
        <v>224</v>
      </c>
      <c r="D38" s="54"/>
      <c r="E38" s="54"/>
      <c r="F38" s="57"/>
      <c r="G38" s="53"/>
      <c r="H38" s="56"/>
      <c r="I38" s="54"/>
      <c r="J38" s="57"/>
      <c r="K38" s="57"/>
      <c r="L38" s="53"/>
      <c r="M38" s="54"/>
    </row>
    <row r="39" spans="1:23" ht="15.75" customHeight="1" x14ac:dyDescent="0.35">
      <c r="A39" s="52">
        <v>45699</v>
      </c>
      <c r="B39" s="53"/>
      <c r="C39" s="54"/>
      <c r="D39" s="54"/>
      <c r="E39" s="54"/>
      <c r="F39" s="57"/>
      <c r="G39" s="53"/>
      <c r="H39" s="56"/>
      <c r="I39" s="54"/>
      <c r="J39" s="57"/>
      <c r="K39" s="57"/>
      <c r="L39" s="53"/>
      <c r="M39" s="54"/>
      <c r="V39" s="54">
        <v>240</v>
      </c>
    </row>
    <row r="40" spans="1:23" ht="15.75" customHeight="1" x14ac:dyDescent="0.35">
      <c r="A40" s="52">
        <v>45700</v>
      </c>
      <c r="B40" s="53">
        <v>10</v>
      </c>
      <c r="C40" s="54">
        <v>0</v>
      </c>
      <c r="D40" s="54"/>
      <c r="E40" s="54"/>
      <c r="F40" s="57"/>
      <c r="G40" s="53"/>
      <c r="H40" s="56"/>
      <c r="I40" s="54"/>
      <c r="J40" s="57"/>
      <c r="K40" s="57"/>
      <c r="L40" s="53"/>
      <c r="M40" s="54"/>
    </row>
    <row r="41" spans="1:23" ht="15.75" customHeight="1" x14ac:dyDescent="0.35">
      <c r="A41" s="52">
        <v>45701</v>
      </c>
      <c r="B41" s="53"/>
      <c r="C41" s="54"/>
      <c r="D41" s="54"/>
      <c r="E41" s="54"/>
      <c r="F41" s="57"/>
      <c r="G41" s="53"/>
      <c r="H41" s="56"/>
      <c r="I41" s="54"/>
      <c r="J41" s="57"/>
      <c r="K41" s="57"/>
      <c r="L41" s="53"/>
      <c r="M41" s="54"/>
    </row>
    <row r="42" spans="1:23" ht="15.75" customHeight="1" x14ac:dyDescent="0.35">
      <c r="A42" s="52">
        <v>45702</v>
      </c>
      <c r="B42" s="53"/>
      <c r="C42" s="54"/>
      <c r="D42" s="54"/>
      <c r="E42" s="54"/>
      <c r="F42" s="57"/>
      <c r="G42" s="53"/>
      <c r="H42" s="56"/>
      <c r="I42" s="54"/>
      <c r="J42" s="54"/>
      <c r="K42" s="57"/>
      <c r="L42" s="53">
        <v>10</v>
      </c>
      <c r="M42" s="54">
        <v>154</v>
      </c>
    </row>
    <row r="43" spans="1:23" ht="15.75" customHeight="1" x14ac:dyDescent="0.35">
      <c r="A43" s="52">
        <v>45703</v>
      </c>
      <c r="B43" s="53">
        <v>10</v>
      </c>
      <c r="C43" s="54">
        <v>253.5</v>
      </c>
      <c r="D43" s="54"/>
      <c r="E43" s="54"/>
      <c r="F43" s="57"/>
      <c r="G43" s="53"/>
      <c r="H43" s="56"/>
      <c r="I43" s="54"/>
      <c r="J43" s="57"/>
      <c r="K43" s="57"/>
      <c r="L43" s="53"/>
      <c r="M43" s="54"/>
    </row>
    <row r="44" spans="1:23" ht="15.75" customHeight="1" x14ac:dyDescent="0.35">
      <c r="A44" s="52">
        <v>45704</v>
      </c>
      <c r="B44" s="53"/>
      <c r="C44" s="54"/>
      <c r="D44" s="54"/>
      <c r="E44" s="54"/>
      <c r="F44" s="57"/>
      <c r="G44" s="53"/>
      <c r="H44" s="56"/>
      <c r="I44" s="54"/>
      <c r="J44" s="57"/>
      <c r="K44" s="57"/>
      <c r="L44" s="53">
        <v>10</v>
      </c>
      <c r="M44" s="54">
        <v>0</v>
      </c>
    </row>
    <row r="45" spans="1:23" ht="15.75" customHeight="1" x14ac:dyDescent="0.35">
      <c r="A45" s="52">
        <v>45705</v>
      </c>
      <c r="B45" s="53">
        <v>10</v>
      </c>
      <c r="C45" s="54">
        <v>190</v>
      </c>
      <c r="D45" s="54"/>
      <c r="E45" s="54"/>
      <c r="F45" s="57"/>
      <c r="G45" s="65"/>
      <c r="H45" s="56"/>
      <c r="I45" s="54"/>
      <c r="J45" s="57"/>
      <c r="K45" s="57"/>
      <c r="L45" s="53"/>
      <c r="M45" s="54"/>
    </row>
    <row r="46" spans="1:23" ht="15.75" customHeight="1" x14ac:dyDescent="0.35">
      <c r="A46" s="52">
        <v>45706</v>
      </c>
      <c r="B46" s="53"/>
      <c r="C46" s="54"/>
      <c r="D46" s="54"/>
      <c r="E46" s="54"/>
      <c r="F46" s="57"/>
      <c r="G46" s="65"/>
      <c r="H46" s="56"/>
      <c r="I46" s="54"/>
      <c r="J46" s="57"/>
      <c r="K46" s="57"/>
      <c r="L46" s="53">
        <v>10</v>
      </c>
      <c r="M46" s="54">
        <v>0</v>
      </c>
    </row>
    <row r="47" spans="1:23" ht="15.75" customHeight="1" x14ac:dyDescent="0.35">
      <c r="A47" s="52">
        <v>45707</v>
      </c>
      <c r="B47" s="53"/>
      <c r="C47" s="54"/>
      <c r="D47" s="54"/>
      <c r="E47" s="54"/>
      <c r="F47" s="57"/>
      <c r="G47" s="53"/>
      <c r="H47" s="56"/>
      <c r="I47" s="54"/>
      <c r="J47" s="54"/>
      <c r="K47" s="57"/>
      <c r="L47" s="65">
        <v>5</v>
      </c>
      <c r="M47" s="54">
        <v>0</v>
      </c>
      <c r="Q47" s="53">
        <v>5.5</v>
      </c>
      <c r="R47" s="54">
        <v>0</v>
      </c>
    </row>
    <row r="48" spans="1:23" ht="15.75" customHeight="1" x14ac:dyDescent="0.35">
      <c r="A48" s="52">
        <v>45708</v>
      </c>
      <c r="B48" s="53"/>
      <c r="C48" s="54"/>
      <c r="E48" s="54"/>
      <c r="F48" s="57"/>
      <c r="G48" s="53">
        <v>10</v>
      </c>
      <c r="H48" s="56">
        <v>0</v>
      </c>
      <c r="I48" s="54"/>
      <c r="J48" s="57"/>
      <c r="K48" s="57"/>
      <c r="L48" s="53"/>
      <c r="M48" s="54"/>
    </row>
    <row r="49" spans="1:14" ht="15.75" customHeight="1" x14ac:dyDescent="0.35">
      <c r="A49" s="52">
        <v>45709</v>
      </c>
      <c r="B49" s="53">
        <v>10</v>
      </c>
      <c r="C49" s="54">
        <v>282</v>
      </c>
      <c r="D49" s="54"/>
      <c r="E49" s="54">
        <v>172</v>
      </c>
      <c r="F49" s="57"/>
      <c r="G49" s="53"/>
      <c r="H49" s="56"/>
      <c r="I49" s="54"/>
      <c r="J49" s="57"/>
      <c r="K49" s="57"/>
      <c r="L49" s="53"/>
      <c r="M49" s="54"/>
      <c r="N49" s="54"/>
    </row>
    <row r="50" spans="1:14" ht="15.75" customHeight="1" x14ac:dyDescent="0.35">
      <c r="A50" s="52">
        <v>45710</v>
      </c>
      <c r="B50" s="53"/>
      <c r="C50" s="54"/>
      <c r="D50" s="54"/>
      <c r="E50" s="54"/>
      <c r="F50" s="57"/>
      <c r="G50" s="53"/>
      <c r="H50" s="56"/>
      <c r="I50" s="54"/>
      <c r="J50" s="57"/>
      <c r="K50" s="57"/>
      <c r="L50" s="53">
        <v>10</v>
      </c>
      <c r="M50" s="54">
        <v>550</v>
      </c>
    </row>
    <row r="51" spans="1:14" ht="15.75" customHeight="1" x14ac:dyDescent="0.35">
      <c r="A51" s="52">
        <v>45711</v>
      </c>
      <c r="B51" s="53"/>
      <c r="C51" s="54"/>
      <c r="D51" s="54"/>
      <c r="E51" s="54"/>
      <c r="F51" s="57"/>
      <c r="G51" s="65">
        <v>10</v>
      </c>
      <c r="H51" s="56">
        <v>16.8</v>
      </c>
      <c r="I51" s="54"/>
      <c r="J51" s="54"/>
      <c r="K51" s="57"/>
      <c r="L51" s="65"/>
      <c r="M51" s="54"/>
    </row>
    <row r="52" spans="1:14" ht="15.75" customHeight="1" x14ac:dyDescent="0.35">
      <c r="A52" s="52">
        <v>45712</v>
      </c>
      <c r="B52" s="53"/>
      <c r="C52" s="54"/>
      <c r="D52" s="54"/>
      <c r="E52" s="54"/>
      <c r="F52" s="57"/>
      <c r="G52" s="53"/>
      <c r="H52" s="56"/>
      <c r="I52" s="54"/>
      <c r="J52" s="57"/>
      <c r="K52" s="57"/>
      <c r="L52" s="53">
        <v>10</v>
      </c>
      <c r="M52" s="54">
        <v>0</v>
      </c>
    </row>
    <row r="53" spans="1:14" ht="15.75" customHeight="1" x14ac:dyDescent="0.35">
      <c r="A53" s="52">
        <v>45713</v>
      </c>
      <c r="B53" s="53"/>
      <c r="C53" s="54"/>
      <c r="D53" s="54"/>
      <c r="E53" s="54"/>
      <c r="F53" s="57"/>
      <c r="G53" s="65">
        <v>10</v>
      </c>
      <c r="H53" s="56">
        <v>149.5</v>
      </c>
      <c r="I53" s="54"/>
      <c r="J53" s="57"/>
      <c r="K53" s="57"/>
      <c r="L53" s="53"/>
      <c r="M53" s="54"/>
    </row>
    <row r="54" spans="1:14" ht="15.75" customHeight="1" x14ac:dyDescent="0.35">
      <c r="A54" s="52">
        <v>45714</v>
      </c>
      <c r="B54" s="53"/>
      <c r="C54" s="54"/>
      <c r="D54" s="54"/>
      <c r="E54" s="54"/>
      <c r="F54" s="57"/>
      <c r="G54" s="53">
        <v>10</v>
      </c>
      <c r="H54" s="56">
        <v>19</v>
      </c>
      <c r="I54" s="54"/>
      <c r="J54" s="57"/>
      <c r="K54" s="57"/>
      <c r="L54" s="53"/>
      <c r="M54" s="54"/>
    </row>
    <row r="55" spans="1:14" ht="15.75" customHeight="1" x14ac:dyDescent="0.35">
      <c r="A55" s="52">
        <v>45715</v>
      </c>
      <c r="B55" s="53"/>
      <c r="C55" s="54"/>
      <c r="D55" s="54"/>
      <c r="E55" s="54"/>
      <c r="F55" s="57"/>
      <c r="G55" s="53">
        <v>10</v>
      </c>
      <c r="H55" s="56">
        <v>0</v>
      </c>
      <c r="I55" s="54"/>
      <c r="J55" s="60"/>
      <c r="K55" s="57"/>
      <c r="L55" s="53"/>
      <c r="M55" s="54"/>
    </row>
    <row r="56" spans="1:14" ht="15.75" customHeight="1" x14ac:dyDescent="0.35">
      <c r="A56" s="52">
        <v>45716</v>
      </c>
      <c r="B56" s="53"/>
      <c r="C56" s="54"/>
      <c r="D56" s="54"/>
      <c r="E56" s="54"/>
      <c r="F56" s="57"/>
      <c r="G56" s="53"/>
      <c r="H56" s="56"/>
      <c r="I56" s="54"/>
      <c r="J56" s="57"/>
      <c r="K56" s="57"/>
      <c r="L56" s="53">
        <v>10</v>
      </c>
      <c r="M56" s="54">
        <v>182</v>
      </c>
    </row>
    <row r="57" spans="1:14" ht="15.75" customHeight="1" x14ac:dyDescent="0.35">
      <c r="A57" s="52"/>
      <c r="B57" s="53"/>
      <c r="C57" s="54"/>
      <c r="D57" s="54"/>
      <c r="E57" s="54"/>
      <c r="F57" s="57"/>
      <c r="G57" s="53"/>
      <c r="H57" s="56"/>
      <c r="I57" s="54"/>
      <c r="J57" s="57"/>
      <c r="K57" s="57"/>
      <c r="L57" s="66"/>
      <c r="M57" s="54"/>
    </row>
    <row r="58" spans="1:14" ht="15.75" customHeight="1" x14ac:dyDescent="0.35">
      <c r="A58" s="52"/>
      <c r="B58" s="53"/>
      <c r="C58" s="54"/>
      <c r="D58" s="54"/>
      <c r="E58" s="54"/>
      <c r="F58" s="57"/>
      <c r="G58" s="53"/>
      <c r="H58" s="56"/>
      <c r="I58" s="54"/>
      <c r="J58" s="57"/>
      <c r="K58" s="57"/>
      <c r="L58" s="66"/>
      <c r="M58" s="54"/>
    </row>
    <row r="59" spans="1:14" ht="15.75" customHeight="1" x14ac:dyDescent="0.35">
      <c r="A59" s="52"/>
      <c r="B59" s="53"/>
      <c r="C59" s="54"/>
      <c r="D59" s="54"/>
      <c r="E59" s="54"/>
      <c r="F59" s="57"/>
      <c r="G59" s="53"/>
      <c r="H59" s="56"/>
      <c r="I59" s="54"/>
      <c r="J59" s="57"/>
      <c r="K59" s="57"/>
      <c r="L59" s="66"/>
      <c r="M59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09AF-1B2F-4F93-B7EB-BC06F483010D}">
  <dimension ref="A1:AA61"/>
  <sheetViews>
    <sheetView zoomScale="85" zoomScaleNormal="85" workbookViewId="0">
      <selection sqref="A1:XFD1048576"/>
    </sheetView>
  </sheetViews>
  <sheetFormatPr defaultColWidth="12.6328125" defaultRowHeight="14.5" x14ac:dyDescent="0.35"/>
  <cols>
    <col min="1" max="1" width="20.54296875" customWidth="1"/>
    <col min="2" max="2" width="13" customWidth="1"/>
    <col min="3" max="3" width="9.81640625" customWidth="1"/>
    <col min="4" max="4" width="10.1796875" customWidth="1"/>
    <col min="5" max="5" width="9.6328125" customWidth="1"/>
    <col min="6" max="6" width="2.1796875" customWidth="1"/>
    <col min="7" max="7" width="10.3632812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6328125" customWidth="1"/>
    <col min="13" max="14" width="10.1796875" customWidth="1"/>
    <col min="15" max="15" width="8.1796875" customWidth="1"/>
    <col min="16" max="16" width="2.1796875" customWidth="1"/>
    <col min="17" max="17" width="8.90625" style="7" customWidth="1"/>
    <col min="18" max="18" width="9.54296875" style="7" customWidth="1"/>
    <col min="19" max="19" width="11.7265625" style="7" customWidth="1"/>
    <col min="20" max="20" width="8.36328125" style="7" customWidth="1"/>
    <col min="21" max="21" width="2.1796875" customWidth="1"/>
    <col min="22" max="22" width="11.26953125" style="73" customWidth="1"/>
    <col min="23" max="23" width="10.453125" customWidth="1"/>
    <col min="24" max="24" width="11.54296875" customWidth="1"/>
    <col min="25" max="25" width="9.26953125" customWidth="1"/>
    <col min="26" max="26" width="2.7265625" customWidth="1"/>
    <col min="27" max="27" width="10.08984375" customWidth="1"/>
  </cols>
  <sheetData>
    <row r="1" spans="1:22" ht="15.75" customHeight="1" x14ac:dyDescent="0.35">
      <c r="A1" s="1" t="s">
        <v>34</v>
      </c>
      <c r="C1" s="2"/>
      <c r="D1" s="2"/>
      <c r="E1" s="3" t="s">
        <v>0</v>
      </c>
      <c r="L1" s="5"/>
      <c r="M1" s="6"/>
      <c r="N1" s="6"/>
      <c r="V1" s="68"/>
    </row>
    <row r="2" spans="1:22" ht="15.75" customHeight="1" x14ac:dyDescent="0.35">
      <c r="A2" s="8"/>
      <c r="B2" s="9"/>
      <c r="C2" s="2"/>
      <c r="D2" s="2"/>
      <c r="L2" s="5"/>
      <c r="M2" s="6"/>
      <c r="N2" s="6"/>
      <c r="V2" s="68"/>
    </row>
    <row r="3" spans="1:22" ht="15.75" customHeight="1" x14ac:dyDescent="0.35">
      <c r="A3" s="8"/>
      <c r="B3" s="10"/>
      <c r="C3" s="2"/>
      <c r="D3" s="2"/>
      <c r="L3" s="5"/>
      <c r="M3" s="6"/>
      <c r="N3" s="6"/>
      <c r="V3" s="68"/>
    </row>
    <row r="4" spans="1:22" ht="15.75" customHeight="1" x14ac:dyDescent="0.35">
      <c r="A4" s="3" t="s">
        <v>1</v>
      </c>
      <c r="B4" s="11">
        <f>B13+G13+L13+Q13</f>
        <v>520</v>
      </c>
      <c r="C4" s="2"/>
      <c r="D4" s="2"/>
      <c r="L4" s="5"/>
      <c r="M4" s="6"/>
      <c r="N4" s="6"/>
      <c r="V4" s="68"/>
    </row>
    <row r="5" spans="1:22" ht="15.75" customHeight="1" x14ac:dyDescent="0.35">
      <c r="A5" s="3" t="s">
        <v>2</v>
      </c>
      <c r="B5" s="12">
        <f>B14+G14+L14+Q14+V14</f>
        <v>3712.25</v>
      </c>
      <c r="C5" s="2"/>
      <c r="D5" s="2"/>
      <c r="L5" s="5"/>
      <c r="M5" s="6"/>
      <c r="N5" s="6"/>
      <c r="V5" s="68"/>
    </row>
    <row r="6" spans="1:22" ht="15.75" customHeight="1" x14ac:dyDescent="0.35">
      <c r="A6" s="8" t="s">
        <v>35</v>
      </c>
      <c r="B6" s="13">
        <f>B15+G15+L15+Q15+V15</f>
        <v>34505.4</v>
      </c>
      <c r="C6" s="2"/>
      <c r="D6" s="2"/>
      <c r="L6" s="5"/>
      <c r="M6" s="6"/>
      <c r="N6" s="6"/>
      <c r="V6" s="68"/>
    </row>
    <row r="7" spans="1:22" ht="15.75" customHeight="1" x14ac:dyDescent="0.35">
      <c r="A7" s="3" t="s">
        <v>4</v>
      </c>
      <c r="B7" s="14">
        <f>B5+B6+C7</f>
        <v>38641.65</v>
      </c>
      <c r="C7" s="15">
        <f>C16+H16+M16+R17+W16</f>
        <v>424</v>
      </c>
      <c r="D7" s="15"/>
      <c r="E7" s="16"/>
      <c r="L7" s="5"/>
      <c r="M7" s="6"/>
      <c r="N7" s="6"/>
      <c r="V7" s="68"/>
    </row>
    <row r="8" spans="1:22" ht="15.75" customHeight="1" x14ac:dyDescent="0.35">
      <c r="A8" s="3" t="s">
        <v>5</v>
      </c>
      <c r="B8" s="14">
        <f>B21+G21+L21+Q21</f>
        <v>8298.3650000000016</v>
      </c>
      <c r="C8" s="2"/>
      <c r="D8" s="2"/>
      <c r="L8" s="5"/>
      <c r="M8" s="6"/>
      <c r="N8" s="6"/>
      <c r="V8" s="68"/>
    </row>
    <row r="9" spans="1:22" ht="15.75" customHeight="1" x14ac:dyDescent="0.35">
      <c r="A9" s="3"/>
      <c r="B9" s="17"/>
      <c r="L9" s="5"/>
      <c r="M9" s="6"/>
      <c r="N9" s="6"/>
      <c r="V9" s="68"/>
    </row>
    <row r="10" spans="1:22" ht="15.75" customHeight="1" x14ac:dyDescent="0.35">
      <c r="A10" s="3" t="s">
        <v>6</v>
      </c>
      <c r="B10" s="14">
        <f>B8+B22+L25</f>
        <v>8498.3650000000016</v>
      </c>
      <c r="C10" s="2"/>
      <c r="D10" s="2"/>
      <c r="L10" s="5"/>
      <c r="M10" s="6"/>
      <c r="N10" s="6"/>
      <c r="V10" s="68"/>
    </row>
    <row r="11" spans="1:22" ht="15.75" customHeight="1" x14ac:dyDescent="0.35">
      <c r="B11" s="18"/>
      <c r="C11" s="2"/>
      <c r="D11" s="2"/>
      <c r="G11" s="18"/>
      <c r="L11" s="5"/>
      <c r="M11" s="6"/>
      <c r="N11" s="6"/>
      <c r="Q11" s="19"/>
      <c r="V11" s="68"/>
    </row>
    <row r="12" spans="1:22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33</v>
      </c>
      <c r="V12" s="69" t="s">
        <v>11</v>
      </c>
    </row>
    <row r="13" spans="1:22" ht="15.75" customHeight="1" x14ac:dyDescent="0.35">
      <c r="A13" s="18" t="s">
        <v>12</v>
      </c>
      <c r="B13" s="22">
        <f>SUM(B29:B61)</f>
        <v>128</v>
      </c>
      <c r="C13" s="2"/>
      <c r="D13" s="2"/>
      <c r="G13" s="23">
        <f>SUM(G29:G59)</f>
        <v>185</v>
      </c>
      <c r="H13" s="20"/>
      <c r="I13" s="5"/>
      <c r="J13" s="5"/>
      <c r="L13" s="23">
        <f>SUM(L29:L61)</f>
        <v>155</v>
      </c>
      <c r="M13" s="6"/>
      <c r="N13" s="6"/>
      <c r="Q13" s="23">
        <f>SUM(Q27:Q59)</f>
        <v>52</v>
      </c>
      <c r="R13" s="20"/>
      <c r="S13" s="79"/>
      <c r="T13" s="5"/>
      <c r="V13" s="70"/>
    </row>
    <row r="14" spans="1:22" ht="15.75" customHeight="1" x14ac:dyDescent="0.35">
      <c r="A14" s="3" t="s">
        <v>2</v>
      </c>
      <c r="B14" s="24">
        <f>SUM(C29:C59)</f>
        <v>1607</v>
      </c>
      <c r="C14" s="2"/>
      <c r="D14" s="2"/>
      <c r="G14" s="25">
        <f>SUM(H29:H59)</f>
        <v>988.25</v>
      </c>
      <c r="H14" s="20"/>
      <c r="I14" s="5"/>
      <c r="J14" s="5"/>
      <c r="L14" s="25">
        <f>SUM(M29:M59)</f>
        <v>1117</v>
      </c>
      <c r="M14" s="6"/>
      <c r="N14" s="6"/>
      <c r="Q14" s="25">
        <f>SUM(R29:R59)</f>
        <v>0</v>
      </c>
      <c r="R14" s="20"/>
      <c r="S14" s="20"/>
      <c r="T14" s="5"/>
      <c r="V14" s="71">
        <f>SUM(W29:W59)</f>
        <v>0</v>
      </c>
    </row>
    <row r="15" spans="1:22" ht="15.75" customHeight="1" x14ac:dyDescent="0.35">
      <c r="A15" s="21" t="s">
        <v>35</v>
      </c>
      <c r="B15" s="25">
        <f>SUM(D29:D59)</f>
        <v>6599.5</v>
      </c>
      <c r="C15" s="2"/>
      <c r="D15" s="2"/>
      <c r="G15" s="25">
        <f>SUM(I29:I59)</f>
        <v>7871.9</v>
      </c>
      <c r="H15" s="20"/>
      <c r="I15" s="5"/>
      <c r="J15" s="5"/>
      <c r="L15" s="25">
        <f>SUM(N29:N59)</f>
        <v>3559</v>
      </c>
      <c r="M15" s="6"/>
      <c r="N15" s="6"/>
      <c r="Q15" s="25">
        <f>SUM(S29:S59)</f>
        <v>1307</v>
      </c>
      <c r="R15" s="20"/>
      <c r="S15" s="20"/>
      <c r="T15" s="5"/>
      <c r="V15" s="71">
        <f>SUM(X29:X59)</f>
        <v>15168</v>
      </c>
    </row>
    <row r="16" spans="1:22" ht="15.75" customHeight="1" x14ac:dyDescent="0.35">
      <c r="A16" s="18" t="s">
        <v>13</v>
      </c>
      <c r="B16" s="25">
        <f>B14+B15</f>
        <v>8206.5</v>
      </c>
      <c r="C16" s="26">
        <f>SUM(E29:E59)</f>
        <v>424</v>
      </c>
      <c r="D16" s="26"/>
      <c r="E16" s="27"/>
      <c r="G16" s="25">
        <f>G14+G15+H16+I16</f>
        <v>8860.15</v>
      </c>
      <c r="H16" s="28">
        <f>SUM(J29:J60)</f>
        <v>0</v>
      </c>
      <c r="I16" s="29"/>
      <c r="J16" s="30"/>
      <c r="L16" s="25">
        <f>L14+L15+M16+N16</f>
        <v>4676</v>
      </c>
      <c r="M16" s="26">
        <f>SUM(O29:O59)</f>
        <v>0</v>
      </c>
      <c r="N16" s="31"/>
      <c r="O16" s="30"/>
      <c r="Q16" s="25">
        <f>Q14+Q15</f>
        <v>1307</v>
      </c>
      <c r="R16" s="28">
        <f>SUM(U29:U60)</f>
        <v>0</v>
      </c>
      <c r="S16" s="28"/>
      <c r="T16" s="26"/>
      <c r="V16" s="71">
        <f>V14+V15</f>
        <v>15168</v>
      </c>
    </row>
    <row r="17" spans="1:27" ht="15.75" customHeight="1" x14ac:dyDescent="0.35">
      <c r="A17" s="5" t="s">
        <v>14</v>
      </c>
      <c r="B17" s="24">
        <v>12</v>
      </c>
      <c r="C17" s="2"/>
      <c r="D17" s="2"/>
      <c r="G17" s="25">
        <v>11</v>
      </c>
      <c r="H17" s="20"/>
      <c r="I17" s="5"/>
      <c r="J17" s="5"/>
      <c r="L17" s="25">
        <v>12</v>
      </c>
      <c r="M17" s="6"/>
      <c r="N17" s="6"/>
      <c r="Q17" s="25">
        <v>10</v>
      </c>
      <c r="R17" s="20"/>
      <c r="S17" s="20"/>
      <c r="T17" s="5"/>
      <c r="V17" s="71"/>
      <c r="W17" s="5"/>
      <c r="X17" s="5"/>
      <c r="Y17" s="5"/>
    </row>
    <row r="18" spans="1:27" ht="15.75" customHeight="1" x14ac:dyDescent="0.35">
      <c r="A18" s="5" t="s">
        <v>15</v>
      </c>
      <c r="B18" s="32">
        <v>10</v>
      </c>
      <c r="C18" s="6">
        <v>10</v>
      </c>
      <c r="D18" s="6"/>
      <c r="G18" s="33">
        <v>10</v>
      </c>
      <c r="H18" s="20">
        <v>10</v>
      </c>
      <c r="I18" s="5"/>
      <c r="J18" s="5"/>
      <c r="L18" s="33">
        <v>10</v>
      </c>
      <c r="M18" s="6">
        <v>10</v>
      </c>
      <c r="N18" s="6"/>
      <c r="O18" s="5"/>
      <c r="Q18" s="33">
        <v>10</v>
      </c>
      <c r="R18" s="20">
        <v>10</v>
      </c>
      <c r="S18" s="20"/>
      <c r="T18" s="5"/>
      <c r="V18" s="72"/>
      <c r="W18" s="5"/>
      <c r="X18" s="5"/>
      <c r="Y18" s="5"/>
    </row>
    <row r="19" spans="1:27" ht="15.75" customHeight="1" x14ac:dyDescent="0.35">
      <c r="A19" s="5" t="s">
        <v>16</v>
      </c>
      <c r="B19" s="24">
        <f>B17*B13</f>
        <v>1536</v>
      </c>
      <c r="D19" s="6"/>
      <c r="G19" s="25">
        <f>G17*G13</f>
        <v>2035</v>
      </c>
      <c r="H19" s="20"/>
      <c r="I19" s="5"/>
      <c r="J19" s="5"/>
      <c r="L19" s="25">
        <f>L17*L13</f>
        <v>1860</v>
      </c>
      <c r="M19" s="6"/>
      <c r="N19" s="6"/>
      <c r="O19" s="5"/>
      <c r="Q19" s="25">
        <f>Q17*Q13</f>
        <v>520</v>
      </c>
      <c r="R19" s="20"/>
      <c r="S19" s="20"/>
      <c r="T19" s="5"/>
      <c r="V19" s="71"/>
      <c r="W19" s="5"/>
      <c r="X19" s="5"/>
      <c r="Y19" s="5"/>
    </row>
    <row r="20" spans="1:27" ht="15.75" customHeight="1" x14ac:dyDescent="0.35">
      <c r="A20" s="5" t="s">
        <v>17</v>
      </c>
      <c r="B20" s="25">
        <f>B16*(B18/100)+C20</f>
        <v>863.05000000000007</v>
      </c>
      <c r="C20" s="34">
        <f>C16*(C18/100)</f>
        <v>42.400000000000006</v>
      </c>
      <c r="D20" s="34"/>
      <c r="E20" s="31" t="s">
        <v>18</v>
      </c>
      <c r="G20" s="25">
        <f>G16*(G18/100)</f>
        <v>886.01499999999999</v>
      </c>
      <c r="H20" s="28">
        <f>H16*(H18/100)</f>
        <v>0</v>
      </c>
      <c r="I20" s="29"/>
      <c r="J20" s="31"/>
      <c r="L20" s="25">
        <f>L16*(L18/100)</f>
        <v>467.6</v>
      </c>
      <c r="M20" s="34">
        <f>M16*(M18/100)</f>
        <v>0</v>
      </c>
      <c r="N20" s="6"/>
      <c r="O20" s="31"/>
      <c r="Q20" s="25">
        <f>Q16*(Q18/100)+R20</f>
        <v>130.70000000000002</v>
      </c>
      <c r="R20" s="28">
        <f t="shared" ref="R20" si="0">R16*(R18/100)</f>
        <v>0</v>
      </c>
      <c r="S20" s="28"/>
      <c r="T20" s="26"/>
      <c r="V20" s="71"/>
      <c r="W20" s="5"/>
      <c r="X20" s="5"/>
      <c r="Y20" s="5"/>
    </row>
    <row r="21" spans="1:27" ht="15.75" customHeight="1" x14ac:dyDescent="0.35">
      <c r="A21" s="5" t="s">
        <v>19</v>
      </c>
      <c r="B21" s="24">
        <f>B19+B20</f>
        <v>2399.0500000000002</v>
      </c>
      <c r="C21" s="6"/>
      <c r="D21" s="6"/>
      <c r="G21" s="25">
        <f>G19+G20</f>
        <v>2921.0149999999999</v>
      </c>
      <c r="H21" s="20"/>
      <c r="I21" s="5"/>
      <c r="J21" s="5"/>
      <c r="L21" s="25">
        <f>L19+L20</f>
        <v>2327.6</v>
      </c>
      <c r="M21" s="6"/>
      <c r="N21" s="6"/>
      <c r="O21" s="5"/>
      <c r="Q21" s="25">
        <f>Q19+Q20</f>
        <v>650.70000000000005</v>
      </c>
      <c r="R21" s="20"/>
      <c r="S21" s="20"/>
      <c r="T21" s="5"/>
      <c r="V21" s="71"/>
      <c r="W21" s="5"/>
      <c r="X21" s="5"/>
      <c r="Y21" s="5"/>
    </row>
    <row r="22" spans="1:27" ht="15.75" customHeight="1" x14ac:dyDescent="0.35">
      <c r="A22" s="35" t="s">
        <v>20</v>
      </c>
      <c r="B22" s="36"/>
      <c r="C22" s="6"/>
      <c r="D22" s="6"/>
      <c r="G22" s="24"/>
      <c r="H22" s="20"/>
      <c r="I22" s="5"/>
      <c r="J22" s="5"/>
      <c r="L22" s="24"/>
      <c r="M22" s="6"/>
      <c r="N22" s="6"/>
      <c r="O22" s="5"/>
      <c r="Q22" s="24"/>
      <c r="R22" s="20"/>
      <c r="S22" s="20"/>
      <c r="T22" s="5"/>
      <c r="V22" s="40"/>
      <c r="W22" s="5"/>
      <c r="X22" s="5"/>
      <c r="Y22" s="5"/>
    </row>
    <row r="23" spans="1:27" ht="15.75" customHeight="1" x14ac:dyDescent="0.35">
      <c r="A23" s="35" t="s">
        <v>21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20"/>
      <c r="S23" s="20"/>
      <c r="T23" s="5"/>
      <c r="W23" s="5"/>
      <c r="X23" s="5"/>
      <c r="Y23" s="5"/>
    </row>
    <row r="24" spans="1:27" ht="15.75" customHeight="1" x14ac:dyDescent="0.35">
      <c r="A24" s="35" t="s">
        <v>22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20"/>
      <c r="S24" s="20"/>
      <c r="T24" s="5"/>
      <c r="V24" s="40"/>
      <c r="W24" s="5"/>
      <c r="X24" s="5"/>
      <c r="Y24" s="5"/>
    </row>
    <row r="25" spans="1:27" x14ac:dyDescent="0.35">
      <c r="A25" s="5" t="s">
        <v>23</v>
      </c>
      <c r="B25" s="24"/>
      <c r="C25" s="37"/>
      <c r="D25" s="37"/>
      <c r="G25" s="24"/>
      <c r="H25" s="38"/>
      <c r="I25" s="39"/>
      <c r="J25" s="5"/>
      <c r="L25" s="40">
        <v>200</v>
      </c>
      <c r="M25" s="37"/>
      <c r="N25" s="37"/>
      <c r="O25" s="5"/>
      <c r="Q25" s="24"/>
      <c r="R25" s="38"/>
      <c r="S25" s="38"/>
      <c r="T25" s="39"/>
      <c r="V25" s="40"/>
      <c r="W25" s="5"/>
      <c r="X25" s="5"/>
      <c r="Y25" s="5"/>
    </row>
    <row r="26" spans="1:27" x14ac:dyDescent="0.35">
      <c r="A26" s="5" t="s">
        <v>24</v>
      </c>
      <c r="B26" s="41">
        <f>B21-B23+B25</f>
        <v>2399.0500000000002</v>
      </c>
      <c r="C26" s="6"/>
      <c r="D26" s="6"/>
      <c r="G26" s="42">
        <f>G21-G24+G25</f>
        <v>2921.0149999999999</v>
      </c>
      <c r="H26" s="20"/>
      <c r="I26" s="5"/>
      <c r="J26" s="5"/>
      <c r="L26" s="42">
        <f>L21+L25</f>
        <v>2527.6</v>
      </c>
      <c r="O26" s="5"/>
      <c r="Q26" s="42">
        <f>Q21-Q24+Q25</f>
        <v>650.70000000000005</v>
      </c>
      <c r="R26" s="20"/>
      <c r="S26" s="20"/>
      <c r="T26" s="5"/>
      <c r="V26" s="74"/>
      <c r="W26" s="5"/>
      <c r="X26" s="5"/>
      <c r="Y26" s="5"/>
    </row>
    <row r="27" spans="1:27" ht="15.75" customHeight="1" x14ac:dyDescent="0.35">
      <c r="A27" s="5"/>
      <c r="B27" s="5"/>
      <c r="C27" s="6"/>
      <c r="D27" s="6"/>
      <c r="G27" s="5"/>
      <c r="H27" s="20"/>
      <c r="I27" s="5"/>
      <c r="J27" s="5"/>
      <c r="L27" s="5"/>
      <c r="M27" s="6"/>
      <c r="N27" s="6"/>
      <c r="O27" s="5"/>
      <c r="Q27" s="44"/>
      <c r="R27" s="44"/>
      <c r="S27" s="44"/>
      <c r="V27" s="68"/>
      <c r="W27" s="5"/>
      <c r="X27" s="5"/>
      <c r="Y27" s="5"/>
    </row>
    <row r="28" spans="1:27" ht="36" customHeight="1" x14ac:dyDescent="0.35">
      <c r="A28" s="5" t="s">
        <v>25</v>
      </c>
      <c r="B28" s="45" t="s">
        <v>26</v>
      </c>
      <c r="C28" s="46" t="s">
        <v>27</v>
      </c>
      <c r="D28" s="67" t="s">
        <v>36</v>
      </c>
      <c r="E28" s="47" t="s">
        <v>29</v>
      </c>
      <c r="F28" s="48" t="s">
        <v>30</v>
      </c>
      <c r="G28" s="45" t="s">
        <v>26</v>
      </c>
      <c r="H28" s="46" t="s">
        <v>27</v>
      </c>
      <c r="I28" s="67" t="s">
        <v>36</v>
      </c>
      <c r="J28" s="47" t="s">
        <v>29</v>
      </c>
      <c r="L28" s="45" t="s">
        <v>26</v>
      </c>
      <c r="M28" s="80" t="s">
        <v>27</v>
      </c>
      <c r="N28" s="67" t="s">
        <v>36</v>
      </c>
      <c r="O28" s="47" t="s">
        <v>29</v>
      </c>
      <c r="Q28" s="45" t="s">
        <v>26</v>
      </c>
      <c r="R28" s="50"/>
      <c r="S28" s="67" t="s">
        <v>36</v>
      </c>
      <c r="T28" s="51"/>
      <c r="V28" s="45"/>
      <c r="W28" s="49" t="s">
        <v>27</v>
      </c>
      <c r="X28" s="67" t="s">
        <v>36</v>
      </c>
      <c r="Y28" s="47" t="s">
        <v>29</v>
      </c>
    </row>
    <row r="29" spans="1:27" ht="15.75" customHeight="1" x14ac:dyDescent="0.35">
      <c r="A29" s="52">
        <v>45717</v>
      </c>
      <c r="B29" s="53"/>
      <c r="C29" s="54"/>
      <c r="D29" s="54"/>
      <c r="E29" s="54"/>
      <c r="F29" s="54"/>
      <c r="G29" s="55">
        <v>10</v>
      </c>
      <c r="H29" s="56">
        <v>118.25</v>
      </c>
      <c r="I29" s="54"/>
      <c r="J29" s="57"/>
      <c r="K29" s="57"/>
      <c r="L29" s="53"/>
      <c r="M29" s="54">
        <v>132</v>
      </c>
      <c r="N29" s="54"/>
      <c r="O29" s="54"/>
      <c r="P29" s="57"/>
      <c r="Q29" s="58"/>
      <c r="R29" s="59"/>
      <c r="S29" s="59"/>
      <c r="T29" s="59"/>
      <c r="U29" s="57"/>
      <c r="V29" s="66"/>
      <c r="W29" s="60"/>
      <c r="X29" s="60"/>
      <c r="Y29" s="57"/>
    </row>
    <row r="30" spans="1:27" ht="15.75" customHeight="1" x14ac:dyDescent="0.35">
      <c r="A30" s="52">
        <v>45718</v>
      </c>
      <c r="B30" s="53"/>
      <c r="C30" s="54"/>
      <c r="D30" s="54"/>
      <c r="E30" s="54"/>
      <c r="F30" s="54"/>
      <c r="G30" s="53">
        <v>8</v>
      </c>
      <c r="I30" s="54">
        <v>1243</v>
      </c>
      <c r="J30" s="57"/>
      <c r="K30" s="57"/>
      <c r="L30" s="53">
        <v>10</v>
      </c>
      <c r="M30" s="54">
        <v>688</v>
      </c>
      <c r="N30" s="54"/>
      <c r="O30" s="54"/>
      <c r="P30" s="57"/>
      <c r="Q30" s="58"/>
      <c r="R30" s="59"/>
      <c r="S30" s="59"/>
      <c r="T30" s="59"/>
      <c r="U30" s="57"/>
      <c r="V30" s="66"/>
      <c r="W30" s="60"/>
      <c r="X30" s="60">
        <v>636</v>
      </c>
      <c r="Y30" s="57"/>
      <c r="AA30" s="78"/>
    </row>
    <row r="31" spans="1:27" ht="15.75" customHeight="1" x14ac:dyDescent="0.35">
      <c r="A31" s="52">
        <v>45719</v>
      </c>
      <c r="B31" s="53"/>
      <c r="C31" s="54"/>
      <c r="D31" s="54"/>
      <c r="E31" s="54"/>
      <c r="F31" s="57"/>
      <c r="G31" s="53"/>
      <c r="H31" s="61"/>
      <c r="I31" s="54"/>
      <c r="J31" s="57"/>
      <c r="K31" s="57"/>
      <c r="L31" s="53">
        <v>10</v>
      </c>
      <c r="M31" s="54">
        <v>0</v>
      </c>
      <c r="N31" s="54"/>
      <c r="O31" s="54"/>
      <c r="P31" s="57"/>
      <c r="Q31" s="58"/>
      <c r="R31" s="59"/>
      <c r="S31" s="59"/>
      <c r="T31" s="59"/>
      <c r="U31" s="57"/>
      <c r="V31" s="66"/>
      <c r="W31" s="60"/>
      <c r="X31" s="60">
        <v>970</v>
      </c>
      <c r="Y31" s="57"/>
    </row>
    <row r="32" spans="1:27" ht="15.75" customHeight="1" x14ac:dyDescent="0.35">
      <c r="A32" s="52">
        <v>45720</v>
      </c>
      <c r="B32" s="53"/>
      <c r="C32" s="54"/>
      <c r="D32" s="54"/>
      <c r="E32" s="54"/>
      <c r="F32" s="57"/>
      <c r="G32" s="62">
        <v>10</v>
      </c>
      <c r="H32" s="56">
        <v>0</v>
      </c>
      <c r="I32" s="63"/>
      <c r="J32" s="57"/>
      <c r="K32" s="57"/>
      <c r="L32" s="53"/>
      <c r="M32" s="54"/>
      <c r="N32" s="54"/>
      <c r="O32" s="54"/>
      <c r="P32" s="57"/>
      <c r="Q32" s="53"/>
      <c r="R32" s="59"/>
      <c r="S32" s="59"/>
      <c r="T32" s="59"/>
      <c r="U32" s="57"/>
      <c r="V32" s="66"/>
      <c r="W32" s="60"/>
      <c r="X32" s="60">
        <v>340</v>
      </c>
      <c r="Y32" s="57"/>
    </row>
    <row r="33" spans="1:24" ht="15.75" customHeight="1" x14ac:dyDescent="0.35">
      <c r="A33" s="52">
        <v>45721</v>
      </c>
      <c r="B33" s="53"/>
      <c r="C33" s="54"/>
      <c r="D33" s="54"/>
      <c r="E33" s="54"/>
      <c r="F33" s="57"/>
      <c r="G33" s="53">
        <v>10</v>
      </c>
      <c r="H33" s="56">
        <v>0</v>
      </c>
      <c r="I33" s="54"/>
      <c r="J33" s="57"/>
      <c r="K33" s="57"/>
      <c r="L33" s="53"/>
      <c r="M33" s="54"/>
      <c r="Q33" s="75">
        <v>8</v>
      </c>
      <c r="S33" s="54">
        <v>0</v>
      </c>
      <c r="W33" s="60"/>
      <c r="X33" s="77">
        <v>590</v>
      </c>
    </row>
    <row r="34" spans="1:24" ht="15.75" customHeight="1" x14ac:dyDescent="0.35">
      <c r="A34" s="52">
        <v>45722</v>
      </c>
      <c r="B34" s="53"/>
      <c r="C34" s="54"/>
      <c r="D34" s="54"/>
      <c r="E34" s="54"/>
      <c r="F34" s="57"/>
      <c r="G34" s="53">
        <v>10.5</v>
      </c>
      <c r="H34" s="56">
        <v>156</v>
      </c>
      <c r="I34" s="54"/>
      <c r="J34" s="57"/>
      <c r="K34" s="57"/>
      <c r="L34" s="53"/>
      <c r="M34" s="54"/>
      <c r="Q34" s="75">
        <v>8</v>
      </c>
      <c r="S34" s="54">
        <v>0</v>
      </c>
      <c r="W34" s="60"/>
      <c r="X34" s="77">
        <v>480</v>
      </c>
    </row>
    <row r="35" spans="1:24" ht="15.75" customHeight="1" x14ac:dyDescent="0.35">
      <c r="A35" s="52">
        <v>45723</v>
      </c>
      <c r="B35" s="53">
        <v>12</v>
      </c>
      <c r="C35" s="54">
        <v>1029</v>
      </c>
      <c r="D35" s="54"/>
      <c r="E35" s="54">
        <v>424</v>
      </c>
      <c r="F35" s="57"/>
      <c r="G35" s="53"/>
      <c r="H35" s="56"/>
      <c r="I35" s="54"/>
      <c r="J35" s="57"/>
      <c r="K35" s="57"/>
      <c r="L35" s="53">
        <v>6.5</v>
      </c>
      <c r="M35" s="54"/>
      <c r="N35" s="64">
        <v>520</v>
      </c>
      <c r="Q35" s="75"/>
      <c r="R35" s="54"/>
      <c r="S35" s="60"/>
      <c r="W35" s="60"/>
      <c r="X35" s="77">
        <v>390</v>
      </c>
    </row>
    <row r="36" spans="1:24" ht="15.75" customHeight="1" x14ac:dyDescent="0.35">
      <c r="A36" s="52">
        <v>45724</v>
      </c>
      <c r="B36" s="53"/>
      <c r="C36" s="54"/>
      <c r="D36" s="54"/>
      <c r="E36" s="54"/>
      <c r="F36" s="57"/>
      <c r="G36" s="53">
        <v>10</v>
      </c>
      <c r="H36" s="56"/>
      <c r="I36" s="54">
        <v>1138</v>
      </c>
      <c r="J36" s="57"/>
      <c r="K36" s="57"/>
      <c r="L36" s="53">
        <v>11</v>
      </c>
      <c r="M36" s="64">
        <v>45</v>
      </c>
      <c r="Q36" s="75"/>
      <c r="S36" s="60"/>
      <c r="W36" s="60"/>
      <c r="X36" s="77">
        <v>3260</v>
      </c>
    </row>
    <row r="37" spans="1:24" ht="15.75" customHeight="1" x14ac:dyDescent="0.35">
      <c r="A37" s="52">
        <v>45725</v>
      </c>
      <c r="B37" s="53"/>
      <c r="C37" s="54"/>
      <c r="D37" s="54"/>
      <c r="E37" s="54"/>
      <c r="F37" s="57"/>
      <c r="G37" s="53"/>
      <c r="H37" s="56"/>
      <c r="I37" s="54"/>
      <c r="K37" s="57"/>
      <c r="L37" s="53">
        <v>10.5</v>
      </c>
      <c r="M37" s="54">
        <v>0</v>
      </c>
      <c r="Q37" s="75">
        <v>12</v>
      </c>
      <c r="S37" s="77">
        <v>850</v>
      </c>
      <c r="W37" s="16"/>
      <c r="X37" s="77">
        <v>150</v>
      </c>
    </row>
    <row r="38" spans="1:24" ht="15.75" customHeight="1" x14ac:dyDescent="0.35">
      <c r="A38" s="52">
        <v>45726</v>
      </c>
      <c r="B38" s="53">
        <v>10</v>
      </c>
      <c r="C38" s="54">
        <v>0</v>
      </c>
      <c r="D38" s="54"/>
      <c r="E38" s="54"/>
      <c r="F38" s="57"/>
      <c r="G38" s="53"/>
      <c r="H38" s="56"/>
      <c r="I38" s="54"/>
      <c r="J38" s="57"/>
      <c r="K38" s="57"/>
      <c r="L38" s="53"/>
      <c r="M38" s="54"/>
      <c r="Q38" s="75"/>
      <c r="S38" s="77"/>
      <c r="W38" s="16"/>
      <c r="X38" s="77">
        <v>1250</v>
      </c>
    </row>
    <row r="39" spans="1:24" ht="15.75" customHeight="1" x14ac:dyDescent="0.35">
      <c r="A39" s="52">
        <v>45727</v>
      </c>
      <c r="B39" s="53"/>
      <c r="C39" s="54"/>
      <c r="D39" s="54"/>
      <c r="E39" s="54"/>
      <c r="F39" s="57"/>
      <c r="G39" s="53">
        <v>10</v>
      </c>
      <c r="H39" s="56">
        <v>0</v>
      </c>
      <c r="I39" s="54"/>
      <c r="J39" s="57"/>
      <c r="K39" s="57"/>
      <c r="L39" s="53"/>
      <c r="M39" s="54"/>
      <c r="Q39" s="75">
        <v>8</v>
      </c>
      <c r="S39" s="77">
        <v>189</v>
      </c>
      <c r="W39" s="60"/>
      <c r="X39" s="77"/>
    </row>
    <row r="40" spans="1:24" ht="15.75" customHeight="1" x14ac:dyDescent="0.35">
      <c r="A40" s="52">
        <v>45728</v>
      </c>
      <c r="B40" s="53"/>
      <c r="C40" s="54"/>
      <c r="D40" s="54"/>
      <c r="E40" s="54"/>
      <c r="F40" s="57"/>
      <c r="G40" s="53">
        <v>10</v>
      </c>
      <c r="H40" s="56">
        <v>0</v>
      </c>
      <c r="I40" s="54"/>
      <c r="J40" s="57"/>
      <c r="K40" s="57"/>
      <c r="L40" s="53"/>
      <c r="M40" s="54"/>
      <c r="Q40" s="75">
        <v>8</v>
      </c>
      <c r="S40" s="77">
        <v>68</v>
      </c>
      <c r="W40" s="16"/>
      <c r="X40" s="77">
        <v>200</v>
      </c>
    </row>
    <row r="41" spans="1:24" ht="15.75" customHeight="1" x14ac:dyDescent="0.35">
      <c r="A41" s="52">
        <v>45729</v>
      </c>
      <c r="B41" s="53"/>
      <c r="C41" s="54"/>
      <c r="D41" s="54"/>
      <c r="E41" s="54"/>
      <c r="F41" s="57"/>
      <c r="G41" s="53">
        <v>10</v>
      </c>
      <c r="H41" s="56">
        <v>0</v>
      </c>
      <c r="I41" s="54"/>
      <c r="J41" s="57"/>
      <c r="K41" s="57"/>
      <c r="L41" s="53"/>
      <c r="M41" s="54"/>
      <c r="Q41" s="75">
        <v>8</v>
      </c>
      <c r="S41" s="77">
        <v>200</v>
      </c>
      <c r="W41" s="16"/>
      <c r="X41" s="77"/>
    </row>
    <row r="42" spans="1:24" ht="15.75" customHeight="1" x14ac:dyDescent="0.35">
      <c r="A42" s="52">
        <v>45730</v>
      </c>
      <c r="B42" s="53">
        <v>10</v>
      </c>
      <c r="C42" s="54">
        <v>0</v>
      </c>
      <c r="D42" s="54"/>
      <c r="E42" s="54"/>
      <c r="F42" s="57"/>
      <c r="G42" s="53">
        <v>8</v>
      </c>
      <c r="H42" s="56"/>
      <c r="I42" s="54">
        <v>810</v>
      </c>
      <c r="J42" s="54"/>
      <c r="K42" s="57"/>
      <c r="L42" s="53"/>
      <c r="M42" s="54"/>
      <c r="V42" s="75"/>
      <c r="W42" s="16"/>
      <c r="X42" s="77">
        <v>1218</v>
      </c>
    </row>
    <row r="43" spans="1:24" ht="15.75" customHeight="1" x14ac:dyDescent="0.35">
      <c r="A43" s="52">
        <v>45731</v>
      </c>
      <c r="B43" s="53">
        <v>11</v>
      </c>
      <c r="C43" s="54"/>
      <c r="D43" s="54">
        <v>2144</v>
      </c>
      <c r="E43" s="54"/>
      <c r="F43" s="57"/>
      <c r="G43" s="53"/>
      <c r="H43" s="56"/>
      <c r="I43" s="54"/>
      <c r="J43" s="57"/>
      <c r="K43" s="57"/>
      <c r="L43" s="53">
        <v>10</v>
      </c>
      <c r="M43" s="54">
        <v>0</v>
      </c>
      <c r="V43" s="75"/>
      <c r="W43" s="16"/>
      <c r="X43" s="77">
        <v>1950</v>
      </c>
    </row>
    <row r="44" spans="1:24" ht="15.75" customHeight="1" x14ac:dyDescent="0.35">
      <c r="A44" s="52">
        <v>45732</v>
      </c>
      <c r="B44" s="53"/>
      <c r="C44" s="54"/>
      <c r="D44" s="54"/>
      <c r="E44" s="54"/>
      <c r="F44" s="57"/>
      <c r="G44" s="53"/>
      <c r="H44" s="56"/>
      <c r="I44" s="54"/>
      <c r="J44" s="57"/>
      <c r="K44" s="57"/>
      <c r="L44" s="53">
        <v>7.5</v>
      </c>
      <c r="M44" s="54">
        <v>0</v>
      </c>
      <c r="V44" s="75"/>
      <c r="W44" s="16"/>
      <c r="X44" s="77">
        <v>968</v>
      </c>
    </row>
    <row r="45" spans="1:24" ht="15.75" customHeight="1" x14ac:dyDescent="0.35">
      <c r="A45" s="52">
        <v>45733</v>
      </c>
      <c r="B45" s="53">
        <v>10</v>
      </c>
      <c r="C45" s="54">
        <v>0</v>
      </c>
      <c r="D45" s="54"/>
      <c r="E45" s="54"/>
      <c r="F45" s="57"/>
      <c r="G45" s="65">
        <v>8</v>
      </c>
      <c r="H45" s="56"/>
      <c r="I45" s="54">
        <v>0</v>
      </c>
      <c r="J45" s="57"/>
      <c r="K45" s="57"/>
      <c r="L45" s="53"/>
      <c r="M45" s="54"/>
      <c r="V45" s="75"/>
      <c r="W45" s="16"/>
      <c r="X45" s="77">
        <v>170</v>
      </c>
    </row>
    <row r="46" spans="1:24" ht="15.75" customHeight="1" x14ac:dyDescent="0.35">
      <c r="A46" s="52">
        <v>45734</v>
      </c>
      <c r="B46" s="53"/>
      <c r="C46" s="54"/>
      <c r="D46" s="54"/>
      <c r="E46" s="54"/>
      <c r="F46" s="57"/>
      <c r="G46" s="65"/>
      <c r="H46" s="56"/>
      <c r="I46" s="54"/>
      <c r="J46" s="57"/>
      <c r="K46" s="57"/>
      <c r="L46" s="53"/>
      <c r="M46" s="54"/>
      <c r="V46" s="75"/>
      <c r="W46" s="16"/>
      <c r="X46" s="77">
        <v>215</v>
      </c>
    </row>
    <row r="47" spans="1:24" ht="15.75" customHeight="1" x14ac:dyDescent="0.35">
      <c r="A47" s="52">
        <v>45735</v>
      </c>
      <c r="B47" s="53"/>
      <c r="C47" s="54"/>
      <c r="D47" s="54"/>
      <c r="E47" s="54"/>
      <c r="F47" s="57"/>
      <c r="G47" s="53">
        <v>9</v>
      </c>
      <c r="H47" s="56"/>
      <c r="I47" s="54">
        <v>716.4</v>
      </c>
      <c r="J47" s="54"/>
      <c r="K47" s="57"/>
      <c r="L47" s="65">
        <v>5.5</v>
      </c>
      <c r="M47" s="54">
        <v>0</v>
      </c>
      <c r="Q47" s="53"/>
      <c r="R47" s="54"/>
      <c r="S47" s="54"/>
      <c r="V47" s="75"/>
      <c r="W47" s="16"/>
      <c r="X47" s="77"/>
    </row>
    <row r="48" spans="1:24" ht="15.75" customHeight="1" x14ac:dyDescent="0.35">
      <c r="A48" s="52">
        <v>45736</v>
      </c>
      <c r="B48" s="53"/>
      <c r="C48" s="54"/>
      <c r="E48" s="54"/>
      <c r="F48" s="57"/>
      <c r="G48" s="53">
        <v>11</v>
      </c>
      <c r="H48" s="56">
        <v>0</v>
      </c>
      <c r="I48" s="54"/>
      <c r="J48" s="57"/>
      <c r="K48" s="57"/>
      <c r="L48" s="53">
        <v>9</v>
      </c>
      <c r="M48" s="54"/>
      <c r="N48" s="64">
        <v>262</v>
      </c>
      <c r="V48" s="75"/>
      <c r="W48" s="16"/>
      <c r="X48" s="77"/>
    </row>
    <row r="49" spans="1:24" ht="15.75" customHeight="1" x14ac:dyDescent="0.35">
      <c r="A49" s="52">
        <v>45737</v>
      </c>
      <c r="B49" s="53">
        <v>11</v>
      </c>
      <c r="C49" s="54">
        <v>240</v>
      </c>
      <c r="D49" s="54"/>
      <c r="E49" s="54"/>
      <c r="F49" s="57"/>
      <c r="G49" s="53"/>
      <c r="H49" s="56"/>
      <c r="I49" s="54"/>
      <c r="J49" s="57"/>
      <c r="K49" s="57"/>
      <c r="L49" s="53">
        <v>10</v>
      </c>
      <c r="M49" s="54"/>
      <c r="N49" s="54">
        <v>514</v>
      </c>
      <c r="V49" s="75"/>
      <c r="W49" s="16"/>
      <c r="X49" s="77"/>
    </row>
    <row r="50" spans="1:24" ht="15.75" customHeight="1" x14ac:dyDescent="0.35">
      <c r="A50" s="52">
        <v>45738</v>
      </c>
      <c r="B50" s="53">
        <v>10.5</v>
      </c>
      <c r="C50" s="54"/>
      <c r="D50" s="54">
        <v>1175.5</v>
      </c>
      <c r="E50" s="54"/>
      <c r="F50" s="57"/>
      <c r="G50" s="53">
        <v>10</v>
      </c>
      <c r="H50" s="56"/>
      <c r="I50" s="54">
        <v>1175.5</v>
      </c>
      <c r="J50" s="57"/>
      <c r="K50" s="57"/>
      <c r="L50" s="53">
        <v>10</v>
      </c>
      <c r="M50" s="54">
        <v>0</v>
      </c>
      <c r="N50" s="54"/>
      <c r="V50" s="75"/>
      <c r="W50" s="16"/>
      <c r="X50" s="77">
        <v>770</v>
      </c>
    </row>
    <row r="51" spans="1:24" ht="15.75" customHeight="1" x14ac:dyDescent="0.35">
      <c r="A51" s="52">
        <v>45739</v>
      </c>
      <c r="B51" s="53"/>
      <c r="C51" s="54"/>
      <c r="D51" s="54"/>
      <c r="E51" s="54"/>
      <c r="F51" s="57"/>
      <c r="G51" s="65"/>
      <c r="H51" s="56"/>
      <c r="I51" s="54"/>
      <c r="J51" s="54"/>
      <c r="K51" s="57"/>
      <c r="L51" s="65">
        <v>10.5</v>
      </c>
      <c r="M51" s="54">
        <v>126</v>
      </c>
      <c r="V51" s="75"/>
      <c r="W51" s="16"/>
      <c r="X51" s="77">
        <v>303</v>
      </c>
    </row>
    <row r="52" spans="1:24" ht="15.75" customHeight="1" x14ac:dyDescent="0.35">
      <c r="A52" s="52">
        <v>45740</v>
      </c>
      <c r="B52" s="53">
        <v>9.5</v>
      </c>
      <c r="C52" s="54">
        <v>240</v>
      </c>
      <c r="D52" s="54"/>
      <c r="E52" s="54"/>
      <c r="F52" s="57"/>
      <c r="G52" s="53"/>
      <c r="H52" s="56"/>
      <c r="I52" s="54"/>
      <c r="J52" s="57"/>
      <c r="K52" s="57"/>
      <c r="L52" s="53"/>
      <c r="M52" s="54"/>
      <c r="O52" s="16"/>
      <c r="V52" s="75"/>
      <c r="W52" s="16"/>
      <c r="X52" s="77">
        <v>260</v>
      </c>
    </row>
    <row r="53" spans="1:24" ht="15.75" customHeight="1" x14ac:dyDescent="0.35">
      <c r="A53" s="52">
        <v>45741</v>
      </c>
      <c r="B53" s="53">
        <v>11</v>
      </c>
      <c r="C53" s="54"/>
      <c r="D53" s="54">
        <v>1719</v>
      </c>
      <c r="E53" s="54"/>
      <c r="F53" s="57"/>
      <c r="G53" s="65"/>
      <c r="H53" s="56"/>
      <c r="I53" s="54"/>
      <c r="J53" s="57"/>
      <c r="K53" s="57"/>
      <c r="L53" s="53">
        <v>10.5</v>
      </c>
      <c r="M53" s="54">
        <v>126</v>
      </c>
      <c r="V53" s="75"/>
      <c r="W53" s="16"/>
      <c r="X53" s="77"/>
    </row>
    <row r="54" spans="1:24" ht="15.75" customHeight="1" x14ac:dyDescent="0.35">
      <c r="A54" s="52">
        <v>45742</v>
      </c>
      <c r="B54" s="53">
        <v>11.5</v>
      </c>
      <c r="C54" s="54"/>
      <c r="D54" s="54">
        <v>1163</v>
      </c>
      <c r="E54" s="54"/>
      <c r="F54" s="57"/>
      <c r="G54" s="53">
        <v>10</v>
      </c>
      <c r="H54" s="56">
        <v>196</v>
      </c>
      <c r="I54" s="54"/>
      <c r="J54" s="57"/>
      <c r="K54" s="57"/>
      <c r="L54" s="53"/>
      <c r="M54" s="54"/>
      <c r="V54" s="75"/>
      <c r="W54" s="16"/>
      <c r="X54" s="77"/>
    </row>
    <row r="55" spans="1:24" ht="15.75" customHeight="1" x14ac:dyDescent="0.35">
      <c r="A55" s="52">
        <v>45743</v>
      </c>
      <c r="B55" s="53">
        <v>12</v>
      </c>
      <c r="C55" s="54"/>
      <c r="D55" s="54">
        <v>398</v>
      </c>
      <c r="E55" s="54"/>
      <c r="F55" s="57"/>
      <c r="G55" s="53">
        <v>10</v>
      </c>
      <c r="H55" s="56">
        <v>0</v>
      </c>
      <c r="I55" s="54"/>
      <c r="J55" s="60"/>
      <c r="K55" s="57"/>
      <c r="L55" s="53"/>
      <c r="M55" s="54"/>
      <c r="V55" s="75"/>
      <c r="W55" s="16"/>
      <c r="X55" s="77"/>
    </row>
    <row r="56" spans="1:24" ht="15.75" customHeight="1" x14ac:dyDescent="0.35">
      <c r="A56" s="52">
        <v>45744</v>
      </c>
      <c r="B56" s="53">
        <v>9.5</v>
      </c>
      <c r="C56" s="54">
        <v>98</v>
      </c>
      <c r="D56" s="54"/>
      <c r="E56" s="54"/>
      <c r="F56" s="57"/>
      <c r="G56" s="53">
        <v>11</v>
      </c>
      <c r="H56" s="56"/>
      <c r="I56" s="54">
        <v>2789</v>
      </c>
      <c r="J56" s="57"/>
      <c r="K56" s="57"/>
      <c r="L56" s="53"/>
      <c r="M56" s="54"/>
      <c r="V56" s="75"/>
      <c r="W56" s="16"/>
      <c r="X56" s="77"/>
    </row>
    <row r="57" spans="1:24" ht="15.75" customHeight="1" x14ac:dyDescent="0.35">
      <c r="A57" s="52">
        <v>45745</v>
      </c>
      <c r="B57" s="53"/>
      <c r="C57" s="54"/>
      <c r="D57" s="54"/>
      <c r="E57" s="54"/>
      <c r="F57" s="57"/>
      <c r="G57" s="53">
        <v>9.5</v>
      </c>
      <c r="H57" s="56">
        <v>378</v>
      </c>
      <c r="I57" s="54"/>
      <c r="J57" s="57"/>
      <c r="K57" s="57"/>
      <c r="L57" s="66">
        <v>12</v>
      </c>
      <c r="M57" s="54"/>
      <c r="N57" s="54">
        <v>1278</v>
      </c>
      <c r="V57" s="75"/>
      <c r="W57" s="16"/>
      <c r="X57" s="77">
        <v>288</v>
      </c>
    </row>
    <row r="58" spans="1:24" ht="15.75" customHeight="1" x14ac:dyDescent="0.35">
      <c r="A58" s="52">
        <v>45746</v>
      </c>
      <c r="B58" s="53"/>
      <c r="C58" s="54"/>
      <c r="D58" s="54"/>
      <c r="E58" s="54"/>
      <c r="F58" s="57"/>
      <c r="G58" s="53"/>
      <c r="H58" s="56"/>
      <c r="I58" s="54"/>
      <c r="J58" s="57"/>
      <c r="K58" s="57"/>
      <c r="L58" s="66">
        <v>10</v>
      </c>
      <c r="M58" s="54">
        <v>0</v>
      </c>
      <c r="V58" s="75"/>
      <c r="W58" s="16"/>
      <c r="X58" s="77">
        <v>760</v>
      </c>
    </row>
    <row r="59" spans="1:24" ht="15.75" customHeight="1" x14ac:dyDescent="0.35">
      <c r="A59" s="52">
        <v>45747</v>
      </c>
      <c r="B59" s="53"/>
      <c r="C59" s="54"/>
      <c r="D59" s="54"/>
      <c r="E59" s="54"/>
      <c r="F59" s="57"/>
      <c r="G59" s="53">
        <v>10</v>
      </c>
      <c r="H59" s="56">
        <v>140</v>
      </c>
      <c r="I59" s="54"/>
      <c r="J59" s="57"/>
      <c r="K59" s="57"/>
      <c r="L59" s="66">
        <v>12</v>
      </c>
      <c r="M59" s="54"/>
      <c r="N59" s="54">
        <v>985</v>
      </c>
      <c r="V59" s="75"/>
      <c r="W59" s="16"/>
      <c r="X59" s="77"/>
    </row>
    <row r="60" spans="1:24" x14ac:dyDescent="0.35">
      <c r="V60" s="76"/>
      <c r="W60" s="16"/>
      <c r="X60" s="77"/>
    </row>
    <row r="61" spans="1:24" x14ac:dyDescent="0.35">
      <c r="V61" s="76"/>
      <c r="W61" s="16"/>
      <c r="X61" s="7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718-0F6B-4671-A02F-16B7A5334AB3}">
  <dimension ref="A1:AF63"/>
  <sheetViews>
    <sheetView zoomScale="85" zoomScaleNormal="85" workbookViewId="0">
      <selection activeCell="AF32" sqref="AF32"/>
    </sheetView>
  </sheetViews>
  <sheetFormatPr defaultColWidth="12.6328125" defaultRowHeight="14.5" x14ac:dyDescent="0.35"/>
  <cols>
    <col min="1" max="1" width="20.54296875" customWidth="1"/>
    <col min="2" max="2" width="13" customWidth="1"/>
    <col min="3" max="3" width="10.1796875" customWidth="1"/>
    <col min="4" max="4" width="9.81640625" customWidth="1"/>
    <col min="5" max="5" width="10.1796875" customWidth="1"/>
    <col min="6" max="6" width="7.90625" customWidth="1"/>
    <col min="7" max="7" width="2.1796875" customWidth="1"/>
    <col min="8" max="8" width="10.36328125" customWidth="1"/>
    <col min="9" max="10" width="10.6328125" style="4" customWidth="1"/>
    <col min="11" max="11" width="10.7265625" customWidth="1"/>
    <col min="12" max="12" width="8.90625" customWidth="1"/>
    <col min="13" max="13" width="2.26953125" customWidth="1"/>
    <col min="14" max="14" width="12.26953125" customWidth="1"/>
    <col min="15" max="17" width="10.1796875" customWidth="1"/>
    <col min="18" max="18" width="8.1796875" customWidth="1"/>
    <col min="19" max="19" width="2.1796875" customWidth="1"/>
    <col min="20" max="20" width="10.1796875" style="7" customWidth="1"/>
    <col min="21" max="22" width="9.54296875" style="7" customWidth="1"/>
    <col min="23" max="23" width="11.7265625" style="7" customWidth="1"/>
    <col min="24" max="24" width="8.36328125" style="7" customWidth="1"/>
    <col min="25" max="25" width="2.1796875" customWidth="1"/>
    <col min="26" max="26" width="11.26953125" style="73" customWidth="1"/>
    <col min="27" max="27" width="10.453125" customWidth="1"/>
    <col min="28" max="28" width="11.54296875" customWidth="1"/>
    <col min="29" max="29" width="9.26953125" customWidth="1"/>
    <col min="30" max="30" width="2.7265625" customWidth="1"/>
    <col min="31" max="31" width="10.08984375" customWidth="1"/>
  </cols>
  <sheetData>
    <row r="1" spans="1:26" ht="15.75" customHeight="1" x14ac:dyDescent="0.35">
      <c r="A1" s="1" t="s">
        <v>37</v>
      </c>
      <c r="C1" s="2"/>
      <c r="D1" s="2"/>
      <c r="E1" s="2"/>
      <c r="F1" s="3" t="s">
        <v>0</v>
      </c>
      <c r="N1" s="5"/>
      <c r="O1" s="6"/>
      <c r="P1" s="6"/>
      <c r="Q1" s="6"/>
      <c r="Z1" s="68"/>
    </row>
    <row r="2" spans="1:26" ht="15.75" customHeight="1" x14ac:dyDescent="0.35">
      <c r="A2" s="8"/>
      <c r="B2" s="9"/>
      <c r="C2" s="2"/>
      <c r="D2" s="2"/>
      <c r="E2" s="2"/>
      <c r="N2" s="5"/>
      <c r="O2" s="6"/>
      <c r="P2" s="6"/>
      <c r="Q2" s="6"/>
      <c r="Z2" s="68"/>
    </row>
    <row r="3" spans="1:26" ht="15.75" customHeight="1" x14ac:dyDescent="0.35">
      <c r="A3" s="8"/>
      <c r="B3" s="10"/>
      <c r="C3" s="2"/>
      <c r="D3" s="2"/>
      <c r="E3" s="2"/>
      <c r="N3" s="5"/>
      <c r="O3" s="6"/>
      <c r="P3" s="6"/>
      <c r="Q3" s="6"/>
      <c r="Z3" s="68"/>
    </row>
    <row r="4" spans="1:26" ht="15.75" customHeight="1" x14ac:dyDescent="0.35">
      <c r="A4" s="3" t="s">
        <v>1</v>
      </c>
      <c r="B4" s="11">
        <f>B14+H14+N14+T14</f>
        <v>580</v>
      </c>
      <c r="C4" s="2"/>
      <c r="D4" s="2"/>
      <c r="E4" s="2"/>
      <c r="N4" s="5"/>
      <c r="O4" s="6"/>
      <c r="P4" s="6"/>
      <c r="Q4" s="6"/>
      <c r="Z4" s="68"/>
    </row>
    <row r="5" spans="1:26" ht="15.75" customHeight="1" x14ac:dyDescent="0.35">
      <c r="A5" s="3" t="s">
        <v>2</v>
      </c>
      <c r="B5" s="12">
        <f>B15+H15+N15+T15+Z15</f>
        <v>1972</v>
      </c>
      <c r="C5" s="2"/>
      <c r="D5" s="2"/>
      <c r="E5" s="2"/>
      <c r="N5" s="5"/>
      <c r="O5" s="6"/>
      <c r="P5" s="6"/>
      <c r="Q5" s="6"/>
      <c r="Z5" s="68"/>
    </row>
    <row r="6" spans="1:26" ht="15.75" customHeight="1" x14ac:dyDescent="0.35">
      <c r="A6" s="81" t="s">
        <v>3</v>
      </c>
      <c r="B6" s="12">
        <f>B16+H16+N16+T16</f>
        <v>5822</v>
      </c>
      <c r="C6" s="2"/>
      <c r="D6" s="2"/>
      <c r="E6" s="2"/>
      <c r="N6" s="5"/>
      <c r="O6" s="6"/>
      <c r="P6" s="6"/>
      <c r="Q6" s="6"/>
      <c r="Z6" s="68"/>
    </row>
    <row r="7" spans="1:26" ht="15.75" customHeight="1" x14ac:dyDescent="0.35">
      <c r="A7" s="8" t="s">
        <v>35</v>
      </c>
      <c r="B7" s="13">
        <f>B17+H17+N17+T17+Z17</f>
        <v>35207</v>
      </c>
      <c r="C7" s="2"/>
      <c r="D7" s="2"/>
      <c r="E7" s="2"/>
      <c r="N7" s="5"/>
      <c r="O7" s="6"/>
      <c r="P7" s="6"/>
      <c r="Q7" s="6"/>
      <c r="Z7" s="68"/>
    </row>
    <row r="8" spans="1:26" ht="15.75" customHeight="1" x14ac:dyDescent="0.35">
      <c r="A8" s="3" t="s">
        <v>4</v>
      </c>
      <c r="B8" s="14">
        <f>B5+B7+C8+B6</f>
        <v>43201</v>
      </c>
      <c r="C8" s="15">
        <f>C18+I18+O18+U19+AA18</f>
        <v>200</v>
      </c>
      <c r="D8" s="15"/>
      <c r="E8" s="15"/>
      <c r="F8" s="16"/>
      <c r="N8" s="5"/>
      <c r="O8" s="6"/>
      <c r="P8" s="6"/>
      <c r="Q8" s="6"/>
      <c r="Z8" s="68"/>
    </row>
    <row r="9" spans="1:26" ht="15.75" customHeight="1" x14ac:dyDescent="0.35">
      <c r="A9" s="3" t="s">
        <v>5</v>
      </c>
      <c r="B9" s="14">
        <f>B23+H23+N23+T23</f>
        <v>9859.2000000000007</v>
      </c>
      <c r="C9" s="2"/>
      <c r="D9" s="2"/>
      <c r="E9" s="2"/>
      <c r="N9" s="5"/>
      <c r="O9" s="6"/>
      <c r="P9" s="6"/>
      <c r="Q9" s="6"/>
      <c r="Z9" s="68"/>
    </row>
    <row r="10" spans="1:26" ht="15.75" customHeight="1" x14ac:dyDescent="0.35">
      <c r="A10" s="3"/>
      <c r="B10" s="17"/>
      <c r="N10" s="5"/>
      <c r="O10" s="6"/>
      <c r="P10" s="6"/>
      <c r="Q10" s="6"/>
      <c r="Z10" s="68"/>
    </row>
    <row r="11" spans="1:26" ht="15.75" customHeight="1" x14ac:dyDescent="0.35">
      <c r="A11" s="3" t="s">
        <v>6</v>
      </c>
      <c r="B11" s="14">
        <f>B9+B24+N27</f>
        <v>10059.200000000001</v>
      </c>
      <c r="C11" s="2"/>
      <c r="D11" s="2"/>
      <c r="E11" s="2"/>
      <c r="N11" s="5"/>
      <c r="O11" s="6"/>
      <c r="P11" s="6"/>
      <c r="Q11" s="6"/>
      <c r="Z11" s="68"/>
    </row>
    <row r="12" spans="1:26" ht="15.75" customHeight="1" x14ac:dyDescent="0.35">
      <c r="B12" s="18"/>
      <c r="C12" s="2"/>
      <c r="D12" s="2"/>
      <c r="E12" s="2"/>
      <c r="H12" s="18"/>
      <c r="N12" s="5"/>
      <c r="O12" s="6"/>
      <c r="P12" s="6"/>
      <c r="Q12" s="6"/>
      <c r="T12" s="19"/>
      <c r="Z12" s="68"/>
    </row>
    <row r="13" spans="1:26" ht="15.75" customHeight="1" x14ac:dyDescent="0.35">
      <c r="B13" s="18" t="s">
        <v>7</v>
      </c>
      <c r="C13" s="2"/>
      <c r="D13" s="2"/>
      <c r="E13" s="2"/>
      <c r="H13" s="18" t="s">
        <v>8</v>
      </c>
      <c r="I13" s="20"/>
      <c r="J13" s="20"/>
      <c r="K13" s="5"/>
      <c r="L13" s="5"/>
      <c r="N13" s="18" t="s">
        <v>9</v>
      </c>
      <c r="O13" s="6"/>
      <c r="P13" s="6"/>
      <c r="Q13" s="6"/>
      <c r="T13" s="18" t="s">
        <v>33</v>
      </c>
      <c r="Z13" s="69" t="s">
        <v>11</v>
      </c>
    </row>
    <row r="14" spans="1:26" ht="15.75" customHeight="1" x14ac:dyDescent="0.35">
      <c r="A14" s="18" t="s">
        <v>12</v>
      </c>
      <c r="B14" s="22">
        <f>SUM(B31:B63)</f>
        <v>157.5</v>
      </c>
      <c r="C14" s="2"/>
      <c r="D14" s="2"/>
      <c r="E14" s="2"/>
      <c r="H14" s="23">
        <f>SUM(H31:H61)</f>
        <v>200</v>
      </c>
      <c r="I14" s="20"/>
      <c r="J14" s="20"/>
      <c r="K14" s="5"/>
      <c r="L14" s="5"/>
      <c r="N14" s="23">
        <f>SUM(N31:N63)</f>
        <v>157.5</v>
      </c>
      <c r="O14" s="6"/>
      <c r="P14" s="6"/>
      <c r="Q14" s="6"/>
      <c r="T14" s="23">
        <f>SUM(T29:T61)</f>
        <v>65</v>
      </c>
      <c r="U14" s="20"/>
      <c r="V14" s="20"/>
      <c r="W14" s="79"/>
      <c r="X14" s="5"/>
      <c r="Z14" s="70"/>
    </row>
    <row r="15" spans="1:26" ht="15.75" customHeight="1" x14ac:dyDescent="0.35">
      <c r="A15" s="3" t="s">
        <v>2</v>
      </c>
      <c r="B15" s="24">
        <f>SUM(C31:C61)</f>
        <v>394</v>
      </c>
      <c r="C15" s="2"/>
      <c r="D15" s="2"/>
      <c r="E15" s="2"/>
      <c r="H15" s="25">
        <f>SUM(I31:I61)</f>
        <v>1578</v>
      </c>
      <c r="I15" s="20"/>
      <c r="J15" s="20"/>
      <c r="K15" s="5"/>
      <c r="L15" s="5"/>
      <c r="N15" s="25">
        <f>SUM(O31:O61)</f>
        <v>0</v>
      </c>
      <c r="O15" s="6"/>
      <c r="P15" s="6"/>
      <c r="Q15" s="6"/>
      <c r="T15" s="25">
        <f>SUM(U31:U61)</f>
        <v>0</v>
      </c>
      <c r="U15" s="20"/>
      <c r="V15" s="20"/>
      <c r="W15" s="20"/>
      <c r="X15" s="5"/>
      <c r="Z15" s="71">
        <f>SUM(AA31:AA61)</f>
        <v>0</v>
      </c>
    </row>
    <row r="16" spans="1:26" ht="15.75" customHeight="1" x14ac:dyDescent="0.35">
      <c r="A16" s="3" t="s">
        <v>3</v>
      </c>
      <c r="B16" s="24">
        <f>SUM(D31:D60)</f>
        <v>2121</v>
      </c>
      <c r="C16" s="2"/>
      <c r="D16" s="2"/>
      <c r="E16" s="2"/>
      <c r="H16" s="24">
        <f>SUM(J31:J60)</f>
        <v>3111</v>
      </c>
      <c r="I16" s="20"/>
      <c r="J16" s="20"/>
      <c r="K16" s="5"/>
      <c r="L16" s="5"/>
      <c r="N16" s="24">
        <f>SUM(P31:P60)</f>
        <v>590</v>
      </c>
      <c r="O16" s="6"/>
      <c r="P16" s="6"/>
      <c r="Q16" s="6"/>
      <c r="T16" s="24">
        <f>SUM(V31:V60)</f>
        <v>0</v>
      </c>
      <c r="U16" s="20"/>
      <c r="V16" s="20"/>
      <c r="W16" s="20"/>
      <c r="X16" s="5"/>
      <c r="Z16" s="71"/>
    </row>
    <row r="17" spans="1:32" ht="15.75" customHeight="1" x14ac:dyDescent="0.35">
      <c r="A17" s="21" t="s">
        <v>35</v>
      </c>
      <c r="B17" s="25">
        <f>SUM(E31:E61)</f>
        <v>12093</v>
      </c>
      <c r="C17" s="2"/>
      <c r="D17" s="2"/>
      <c r="E17" s="2"/>
      <c r="H17" s="25">
        <f>SUM(K31:K61)</f>
        <v>896</v>
      </c>
      <c r="I17" s="20"/>
      <c r="J17" s="20"/>
      <c r="K17" s="5"/>
      <c r="L17" s="5"/>
      <c r="N17" s="25">
        <f>SUM(Q31:Q61)</f>
        <v>9843</v>
      </c>
      <c r="O17" s="6"/>
      <c r="P17" s="6"/>
      <c r="Q17" s="6"/>
      <c r="T17" s="25">
        <f>SUM(W31:W61)</f>
        <v>1466</v>
      </c>
      <c r="U17" s="20"/>
      <c r="V17" s="20"/>
      <c r="W17" s="20"/>
      <c r="X17" s="5"/>
      <c r="Z17" s="25">
        <f>SUM(AB31:AB31:AB60)</f>
        <v>10909</v>
      </c>
    </row>
    <row r="18" spans="1:32" ht="15.75" customHeight="1" x14ac:dyDescent="0.35">
      <c r="A18" s="18" t="s">
        <v>13</v>
      </c>
      <c r="B18" s="25">
        <f>B15+B17+B16+C18</f>
        <v>14808</v>
      </c>
      <c r="C18" s="26">
        <f>SUM(F31:F61)</f>
        <v>200</v>
      </c>
      <c r="D18" s="26"/>
      <c r="E18" s="26"/>
      <c r="F18" s="27"/>
      <c r="H18" s="25">
        <f>H15+H17+I18+K18+H16</f>
        <v>5585</v>
      </c>
      <c r="I18" s="28">
        <v>0</v>
      </c>
      <c r="J18" s="28"/>
      <c r="K18" s="29"/>
      <c r="L18" s="30"/>
      <c r="N18" s="25">
        <f>N15+N17+O18+Q18+N16</f>
        <v>10433</v>
      </c>
      <c r="O18" s="26">
        <v>0</v>
      </c>
      <c r="P18" s="26"/>
      <c r="Q18" s="31"/>
      <c r="R18" s="30"/>
      <c r="T18" s="25">
        <f>T15+T17+T16</f>
        <v>1466</v>
      </c>
      <c r="U18" s="28">
        <f>SUM(Y31:Y62)</f>
        <v>0</v>
      </c>
      <c r="V18" s="28"/>
      <c r="W18" s="28"/>
      <c r="X18" s="26"/>
      <c r="Z18" s="71">
        <f>Z15+Z17</f>
        <v>10909</v>
      </c>
    </row>
    <row r="19" spans="1:32" ht="15.75" customHeight="1" x14ac:dyDescent="0.35">
      <c r="A19" s="5" t="s">
        <v>14</v>
      </c>
      <c r="B19" s="24">
        <v>12</v>
      </c>
      <c r="C19" s="2"/>
      <c r="D19" s="2"/>
      <c r="E19" s="2"/>
      <c r="H19" s="25">
        <v>11</v>
      </c>
      <c r="I19" s="20"/>
      <c r="J19" s="20"/>
      <c r="K19" s="5"/>
      <c r="L19" s="5"/>
      <c r="N19" s="25">
        <v>12</v>
      </c>
      <c r="O19" s="6"/>
      <c r="P19" s="6"/>
      <c r="Q19" s="6"/>
      <c r="T19" s="25">
        <v>10</v>
      </c>
      <c r="U19" s="20"/>
      <c r="V19" s="20"/>
      <c r="W19" s="20"/>
      <c r="X19" s="5"/>
      <c r="Z19" s="72"/>
      <c r="AA19" s="5"/>
      <c r="AB19" s="5"/>
      <c r="AC19" s="5"/>
    </row>
    <row r="20" spans="1:32" ht="15.75" customHeight="1" x14ac:dyDescent="0.35">
      <c r="A20" s="5" t="s">
        <v>15</v>
      </c>
      <c r="B20" s="32">
        <v>10</v>
      </c>
      <c r="C20" s="6">
        <v>10</v>
      </c>
      <c r="D20" s="6"/>
      <c r="E20" s="6"/>
      <c r="H20" s="33">
        <v>10</v>
      </c>
      <c r="I20" s="20">
        <v>10</v>
      </c>
      <c r="J20" s="20"/>
      <c r="K20" s="5"/>
      <c r="L20" s="5"/>
      <c r="N20" s="33">
        <v>10</v>
      </c>
      <c r="O20" s="6">
        <v>10</v>
      </c>
      <c r="P20" s="6"/>
      <c r="Q20" s="6"/>
      <c r="R20" s="5"/>
      <c r="T20" s="33">
        <v>10</v>
      </c>
      <c r="U20" s="20">
        <v>10</v>
      </c>
      <c r="AA20" s="5"/>
      <c r="AB20" s="5"/>
      <c r="AC20" s="5"/>
    </row>
    <row r="21" spans="1:32" ht="15.75" customHeight="1" x14ac:dyDescent="0.35">
      <c r="A21" s="5" t="s">
        <v>16</v>
      </c>
      <c r="B21" s="24">
        <f>B19*B14</f>
        <v>1890</v>
      </c>
      <c r="E21" s="6"/>
      <c r="H21" s="25">
        <f>H19*H14</f>
        <v>2200</v>
      </c>
      <c r="I21" s="20"/>
      <c r="J21" s="20"/>
      <c r="K21" s="5"/>
      <c r="L21" s="5"/>
      <c r="N21" s="25">
        <f>N19*N14</f>
        <v>1890</v>
      </c>
      <c r="O21" s="6"/>
      <c r="P21" s="6"/>
      <c r="Q21" s="6"/>
      <c r="R21" s="5"/>
      <c r="T21" s="25">
        <f>T19*T14</f>
        <v>650</v>
      </c>
      <c r="U21" s="20"/>
      <c r="V21" s="20"/>
      <c r="W21" s="20"/>
      <c r="X21" s="5"/>
      <c r="Z21" s="71"/>
      <c r="AA21" s="5"/>
      <c r="AB21" s="5"/>
      <c r="AC21" s="5"/>
    </row>
    <row r="22" spans="1:32" ht="15.75" customHeight="1" x14ac:dyDescent="0.35">
      <c r="A22" s="5" t="s">
        <v>17</v>
      </c>
      <c r="B22" s="25">
        <f>B18*(B20/100)</f>
        <v>1480.8000000000002</v>
      </c>
      <c r="C22" s="34">
        <f>C18*(C20/100)</f>
        <v>20</v>
      </c>
      <c r="D22" s="34"/>
      <c r="E22" s="34"/>
      <c r="F22" s="31" t="s">
        <v>18</v>
      </c>
      <c r="H22" s="25">
        <f>H18*(H20/100)</f>
        <v>558.5</v>
      </c>
      <c r="I22" s="28">
        <f>I18*(I20/100)</f>
        <v>0</v>
      </c>
      <c r="J22" s="28"/>
      <c r="K22" s="29"/>
      <c r="L22" s="31"/>
      <c r="N22" s="25">
        <f>N18*(N20/100)</f>
        <v>1043.3</v>
      </c>
      <c r="O22" s="34">
        <f>O18*(O20/100)</f>
        <v>0</v>
      </c>
      <c r="P22" s="34"/>
      <c r="Q22" s="6"/>
      <c r="R22" s="31"/>
      <c r="T22" s="25">
        <f>T18*(T20/100)+U22</f>
        <v>146.6</v>
      </c>
      <c r="U22" s="28">
        <f t="shared" ref="U22" si="0">U18*(U20/100)</f>
        <v>0</v>
      </c>
      <c r="V22" s="28"/>
      <c r="W22" s="28"/>
      <c r="X22" s="26"/>
      <c r="Z22" s="71"/>
      <c r="AA22" s="5"/>
      <c r="AB22" s="5"/>
      <c r="AC22" s="5"/>
    </row>
    <row r="23" spans="1:32" ht="15.75" customHeight="1" x14ac:dyDescent="0.35">
      <c r="A23" s="5" t="s">
        <v>19</v>
      </c>
      <c r="B23" s="24">
        <f>B21+B22</f>
        <v>3370.8</v>
      </c>
      <c r="C23" s="6"/>
      <c r="D23" s="6"/>
      <c r="E23" s="6"/>
      <c r="H23" s="25">
        <f>H21+H22</f>
        <v>2758.5</v>
      </c>
      <c r="I23" s="20"/>
      <c r="J23" s="20"/>
      <c r="K23" s="5"/>
      <c r="L23" s="5"/>
      <c r="N23" s="25">
        <f>N21+N22</f>
        <v>2933.3</v>
      </c>
      <c r="O23" s="6"/>
      <c r="P23" s="6"/>
      <c r="Q23" s="6"/>
      <c r="R23" s="5"/>
      <c r="T23" s="25">
        <f>T21+T22</f>
        <v>796.6</v>
      </c>
      <c r="U23" s="20"/>
      <c r="V23" s="20"/>
      <c r="W23" s="20"/>
      <c r="X23" s="5"/>
      <c r="Z23" s="71"/>
      <c r="AA23" s="5"/>
      <c r="AB23" s="5"/>
      <c r="AC23" s="5"/>
    </row>
    <row r="24" spans="1:32" ht="15.75" customHeight="1" x14ac:dyDescent="0.35">
      <c r="A24" s="35" t="s">
        <v>20</v>
      </c>
      <c r="B24" s="36"/>
      <c r="C24" s="6"/>
      <c r="D24" s="6"/>
      <c r="E24" s="6"/>
      <c r="H24" s="24"/>
      <c r="I24" s="20"/>
      <c r="J24" s="20"/>
      <c r="K24" s="5"/>
      <c r="L24" s="5"/>
      <c r="N24" s="24"/>
      <c r="O24" s="6"/>
      <c r="P24" s="6"/>
      <c r="Q24" s="6"/>
      <c r="R24" s="5"/>
      <c r="T24" s="24"/>
      <c r="U24" s="20"/>
      <c r="V24" s="20"/>
      <c r="W24" s="20"/>
      <c r="X24" s="5"/>
      <c r="Z24" s="40"/>
      <c r="AA24" s="5"/>
      <c r="AB24" s="5"/>
      <c r="AC24" s="5"/>
    </row>
    <row r="25" spans="1:32" ht="15.75" customHeight="1" x14ac:dyDescent="0.35">
      <c r="A25" s="35" t="s">
        <v>21</v>
      </c>
      <c r="B25" s="36"/>
      <c r="C25" s="6"/>
      <c r="D25" s="6"/>
      <c r="E25" s="6"/>
      <c r="H25" s="24"/>
      <c r="I25" s="20"/>
      <c r="J25" s="20"/>
      <c r="K25" s="5"/>
      <c r="L25" s="5"/>
      <c r="N25" s="24"/>
      <c r="O25" s="6"/>
      <c r="P25" s="6"/>
      <c r="Q25" s="6"/>
      <c r="R25" s="5"/>
      <c r="T25" s="24"/>
      <c r="U25" s="20"/>
      <c r="V25" s="20"/>
      <c r="W25" s="20"/>
      <c r="X25" s="5"/>
      <c r="AA25" s="5"/>
      <c r="AB25" s="5"/>
      <c r="AC25" s="5"/>
    </row>
    <row r="26" spans="1:32" ht="15.75" customHeight="1" x14ac:dyDescent="0.35">
      <c r="A26" s="35" t="s">
        <v>22</v>
      </c>
      <c r="B26" s="36"/>
      <c r="C26" s="6"/>
      <c r="D26" s="6"/>
      <c r="E26" s="6"/>
      <c r="H26" s="24"/>
      <c r="I26" s="20"/>
      <c r="J26" s="20"/>
      <c r="K26" s="5"/>
      <c r="L26" s="5"/>
      <c r="N26" s="6"/>
      <c r="P26" s="6"/>
      <c r="Q26" s="6"/>
      <c r="R26" s="5"/>
      <c r="T26" s="24"/>
      <c r="U26" s="20"/>
      <c r="V26" s="20"/>
      <c r="W26" s="20"/>
      <c r="X26" s="5"/>
      <c r="Z26" s="40"/>
      <c r="AA26" s="5"/>
      <c r="AB26" s="5"/>
      <c r="AC26" s="5"/>
    </row>
    <row r="27" spans="1:32" x14ac:dyDescent="0.35">
      <c r="A27" s="5" t="s">
        <v>23</v>
      </c>
      <c r="B27" s="24"/>
      <c r="C27" s="37"/>
      <c r="D27" s="37"/>
      <c r="E27" s="37"/>
      <c r="H27" s="24"/>
      <c r="I27" s="38"/>
      <c r="J27" s="38"/>
      <c r="K27" s="39"/>
      <c r="L27" s="5"/>
      <c r="N27" s="40">
        <v>200</v>
      </c>
      <c r="O27" s="37"/>
      <c r="P27" s="37"/>
      <c r="Q27" s="37"/>
      <c r="R27" s="5"/>
      <c r="T27" s="24"/>
      <c r="U27" s="38"/>
      <c r="V27" s="38"/>
      <c r="W27" s="38"/>
      <c r="X27" s="39"/>
      <c r="Z27" s="40"/>
      <c r="AA27" s="5"/>
      <c r="AB27" s="5"/>
      <c r="AC27" s="5"/>
    </row>
    <row r="28" spans="1:32" x14ac:dyDescent="0.35">
      <c r="A28" s="5" t="s">
        <v>24</v>
      </c>
      <c r="B28" s="41">
        <f>B23-B25+B27</f>
        <v>3370.8</v>
      </c>
      <c r="C28" s="6"/>
      <c r="D28" s="6"/>
      <c r="E28" s="6"/>
      <c r="H28" s="42">
        <f>H23-H26+H27</f>
        <v>2758.5</v>
      </c>
      <c r="I28" s="20"/>
      <c r="J28" s="20"/>
      <c r="K28" s="5"/>
      <c r="L28" s="5"/>
      <c r="N28" s="42">
        <f>N23+N27</f>
        <v>3133.3</v>
      </c>
      <c r="R28" s="5"/>
      <c r="T28" s="42">
        <f>T23-T26+T27</f>
        <v>796.6</v>
      </c>
      <c r="U28" s="20"/>
      <c r="V28" s="20"/>
      <c r="W28" s="20"/>
      <c r="X28" s="5"/>
      <c r="Z28" s="74"/>
      <c r="AA28" s="5"/>
      <c r="AB28" s="5"/>
      <c r="AC28" s="5"/>
    </row>
    <row r="29" spans="1:32" ht="15.75" customHeight="1" x14ac:dyDescent="0.35">
      <c r="A29" s="5"/>
      <c r="B29" s="5"/>
      <c r="C29" s="6"/>
      <c r="D29" s="6"/>
      <c r="E29" s="6"/>
      <c r="H29" s="5"/>
      <c r="I29" s="20"/>
      <c r="J29" s="20"/>
      <c r="K29" s="5"/>
      <c r="L29" s="5"/>
      <c r="N29" s="5"/>
      <c r="O29" s="6"/>
      <c r="P29" s="6"/>
      <c r="Q29" s="6"/>
      <c r="R29" s="5"/>
      <c r="T29" s="44"/>
      <c r="U29" s="44"/>
      <c r="V29" s="44"/>
      <c r="W29" s="44"/>
      <c r="Z29" s="68"/>
      <c r="AA29" s="5"/>
      <c r="AB29" s="5"/>
      <c r="AC29" s="5"/>
    </row>
    <row r="30" spans="1:32" ht="36" customHeight="1" x14ac:dyDescent="0.35">
      <c r="A30" s="5" t="s">
        <v>25</v>
      </c>
      <c r="B30" s="45" t="s">
        <v>26</v>
      </c>
      <c r="C30" s="46" t="s">
        <v>38</v>
      </c>
      <c r="D30" s="46" t="s">
        <v>28</v>
      </c>
      <c r="E30" s="67" t="s">
        <v>36</v>
      </c>
      <c r="F30" s="47" t="s">
        <v>29</v>
      </c>
      <c r="G30" s="48" t="s">
        <v>30</v>
      </c>
      <c r="H30" s="45" t="s">
        <v>26</v>
      </c>
      <c r="I30" s="46" t="s">
        <v>38</v>
      </c>
      <c r="J30" s="46" t="s">
        <v>28</v>
      </c>
      <c r="K30" s="67" t="s">
        <v>36</v>
      </c>
      <c r="L30" s="47" t="s">
        <v>29</v>
      </c>
      <c r="N30" s="45" t="s">
        <v>26</v>
      </c>
      <c r="O30" s="46" t="s">
        <v>38</v>
      </c>
      <c r="P30" s="46" t="s">
        <v>28</v>
      </c>
      <c r="Q30" s="67" t="s">
        <v>36</v>
      </c>
      <c r="R30" s="47" t="s">
        <v>29</v>
      </c>
      <c r="T30" s="45" t="s">
        <v>26</v>
      </c>
      <c r="U30" s="46" t="s">
        <v>38</v>
      </c>
      <c r="V30" s="46" t="s">
        <v>28</v>
      </c>
      <c r="W30" s="67" t="s">
        <v>36</v>
      </c>
      <c r="X30" s="51"/>
      <c r="Z30" s="45"/>
      <c r="AA30" s="49" t="s">
        <v>27</v>
      </c>
      <c r="AB30" s="67" t="s">
        <v>36</v>
      </c>
      <c r="AC30" s="47" t="s">
        <v>29</v>
      </c>
    </row>
    <row r="31" spans="1:32" ht="15.75" customHeight="1" x14ac:dyDescent="0.35">
      <c r="A31" s="52">
        <v>45748</v>
      </c>
      <c r="B31" s="53"/>
      <c r="C31" s="54"/>
      <c r="D31" s="54"/>
      <c r="E31" s="54"/>
      <c r="F31" s="54"/>
      <c r="G31" s="54"/>
      <c r="H31" s="55">
        <v>10</v>
      </c>
      <c r="I31" s="56">
        <v>0</v>
      </c>
      <c r="J31" s="56"/>
      <c r="K31" s="54"/>
      <c r="L31" s="57"/>
      <c r="M31" s="57"/>
      <c r="N31" s="53">
        <v>12</v>
      </c>
      <c r="O31" s="54"/>
      <c r="P31" s="54"/>
      <c r="Q31" s="54">
        <v>248</v>
      </c>
      <c r="R31" s="54"/>
      <c r="S31" s="57"/>
      <c r="T31" s="58"/>
      <c r="U31" s="59"/>
      <c r="V31" s="59"/>
      <c r="W31" s="59"/>
      <c r="X31" s="59"/>
      <c r="Y31" s="57"/>
      <c r="Z31" s="66"/>
      <c r="AA31" s="60"/>
      <c r="AB31" s="60"/>
      <c r="AC31" s="57"/>
      <c r="AE31" s="84">
        <f>AB31+W31+Q31+K31+E31</f>
        <v>248</v>
      </c>
      <c r="AF31" s="84">
        <f>SUM(AE31:AE45)+200</f>
        <v>19707</v>
      </c>
    </row>
    <row r="32" spans="1:32" ht="15.75" customHeight="1" x14ac:dyDescent="0.35">
      <c r="A32" s="52">
        <v>45749</v>
      </c>
      <c r="B32" s="53"/>
      <c r="C32" s="54"/>
      <c r="D32" s="54"/>
      <c r="E32" s="54"/>
      <c r="F32" s="54"/>
      <c r="G32" s="54"/>
      <c r="H32" s="53">
        <v>10</v>
      </c>
      <c r="I32" s="56">
        <v>0</v>
      </c>
      <c r="K32" s="54"/>
      <c r="L32" s="57"/>
      <c r="M32" s="57"/>
      <c r="N32" s="53">
        <v>12</v>
      </c>
      <c r="O32" s="54"/>
      <c r="P32" s="54"/>
      <c r="Q32" s="54">
        <v>618</v>
      </c>
      <c r="R32" s="54"/>
      <c r="S32" s="57"/>
      <c r="T32" s="58"/>
      <c r="U32" s="59"/>
      <c r="V32" s="59"/>
      <c r="W32" s="59"/>
      <c r="X32" s="59"/>
      <c r="Y32" s="57"/>
      <c r="Z32" s="66"/>
      <c r="AA32" s="60"/>
      <c r="AB32" s="60"/>
      <c r="AC32" s="57"/>
      <c r="AE32" s="84">
        <f t="shared" ref="AE32:AE60" si="1">AB32+W32+Q32+K32+E32</f>
        <v>618</v>
      </c>
      <c r="AF32" s="84">
        <f>SUM(AE46:AE60)</f>
        <v>15700</v>
      </c>
    </row>
    <row r="33" spans="1:31" ht="15.75" customHeight="1" x14ac:dyDescent="0.35">
      <c r="A33" s="52">
        <v>45750</v>
      </c>
      <c r="B33" s="53">
        <v>12</v>
      </c>
      <c r="C33" s="54"/>
      <c r="D33" s="54"/>
      <c r="E33" s="54">
        <v>1035</v>
      </c>
      <c r="F33" s="54"/>
      <c r="G33" s="57"/>
      <c r="H33" s="53">
        <v>10</v>
      </c>
      <c r="I33" s="61">
        <v>0</v>
      </c>
      <c r="J33" s="61"/>
      <c r="K33" s="54"/>
      <c r="L33" s="57"/>
      <c r="M33" s="57"/>
      <c r="N33" s="53"/>
      <c r="O33" s="54"/>
      <c r="P33" s="54"/>
      <c r="Q33" s="54"/>
      <c r="R33" s="54"/>
      <c r="S33" s="57"/>
      <c r="T33" s="58"/>
      <c r="U33" s="59"/>
      <c r="V33" s="59"/>
      <c r="W33" s="59"/>
      <c r="X33" s="59"/>
      <c r="Y33" s="57"/>
      <c r="Z33" s="66"/>
      <c r="AA33" s="60"/>
      <c r="AB33" s="60"/>
      <c r="AC33" s="57"/>
      <c r="AE33" s="84">
        <f t="shared" si="1"/>
        <v>1035</v>
      </c>
    </row>
    <row r="34" spans="1:31" ht="15.75" customHeight="1" x14ac:dyDescent="0.35">
      <c r="A34" s="52">
        <v>45751</v>
      </c>
      <c r="B34" s="53">
        <v>10</v>
      </c>
      <c r="C34" s="54">
        <v>0</v>
      </c>
      <c r="D34" s="54"/>
      <c r="E34" s="54"/>
      <c r="F34" s="54">
        <v>200</v>
      </c>
      <c r="G34" s="57"/>
      <c r="H34" s="62"/>
      <c r="I34" s="56"/>
      <c r="J34" s="56"/>
      <c r="K34" s="63"/>
      <c r="L34" s="57"/>
      <c r="M34" s="57"/>
      <c r="N34" s="53">
        <v>7.5</v>
      </c>
      <c r="O34" s="54"/>
      <c r="P34" s="54"/>
      <c r="Q34" s="54">
        <v>236</v>
      </c>
      <c r="R34" s="54"/>
      <c r="S34" s="57"/>
      <c r="T34" s="53"/>
      <c r="U34" s="59"/>
      <c r="V34" s="59"/>
      <c r="W34" s="59"/>
      <c r="X34" s="59"/>
      <c r="Y34" s="57"/>
      <c r="Z34" s="66"/>
      <c r="AA34" s="60"/>
      <c r="AB34" s="60">
        <v>400</v>
      </c>
      <c r="AC34" s="57"/>
      <c r="AE34" s="84">
        <f t="shared" si="1"/>
        <v>636</v>
      </c>
    </row>
    <row r="35" spans="1:31" ht="15.75" customHeight="1" x14ac:dyDescent="0.35">
      <c r="A35" s="52">
        <v>45752</v>
      </c>
      <c r="B35" s="53">
        <v>9.5</v>
      </c>
      <c r="C35" s="54"/>
      <c r="D35" s="54"/>
      <c r="E35" s="54">
        <v>839</v>
      </c>
      <c r="F35" s="54"/>
      <c r="G35" s="57"/>
      <c r="H35" s="53">
        <v>10</v>
      </c>
      <c r="I35" s="56"/>
      <c r="J35" s="56"/>
      <c r="K35" s="54"/>
      <c r="L35" s="57"/>
      <c r="M35" s="57"/>
      <c r="N35" s="53">
        <v>8</v>
      </c>
      <c r="O35" s="54"/>
      <c r="P35" s="54"/>
      <c r="Q35" s="54">
        <v>839</v>
      </c>
      <c r="T35" s="75"/>
      <c r="W35" s="54"/>
      <c r="AA35" s="60"/>
      <c r="AB35" s="77">
        <v>1450</v>
      </c>
      <c r="AE35" s="84">
        <f t="shared" si="1"/>
        <v>3128</v>
      </c>
    </row>
    <row r="36" spans="1:31" ht="15.75" customHeight="1" x14ac:dyDescent="0.35">
      <c r="A36" s="52">
        <v>45753</v>
      </c>
      <c r="B36" s="53"/>
      <c r="C36" s="54"/>
      <c r="D36" s="54"/>
      <c r="E36" s="54"/>
      <c r="F36" s="54"/>
      <c r="G36" s="57"/>
      <c r="H36" s="53">
        <v>9.5</v>
      </c>
      <c r="I36" s="56">
        <v>455</v>
      </c>
      <c r="J36" s="56"/>
      <c r="K36" s="54"/>
      <c r="L36" s="57"/>
      <c r="M36" s="57"/>
      <c r="N36" s="53">
        <v>7</v>
      </c>
      <c r="O36" s="54"/>
      <c r="P36" s="54"/>
      <c r="Q36" s="54">
        <v>1328</v>
      </c>
      <c r="T36" s="75"/>
      <c r="W36" s="54"/>
      <c r="AA36" s="60"/>
      <c r="AB36" s="77"/>
      <c r="AE36" s="84">
        <f t="shared" si="1"/>
        <v>1328</v>
      </c>
    </row>
    <row r="37" spans="1:31" ht="15.75" customHeight="1" x14ac:dyDescent="0.35">
      <c r="A37" s="52">
        <v>45754</v>
      </c>
      <c r="B37" s="53">
        <v>10</v>
      </c>
      <c r="C37" s="54">
        <v>196</v>
      </c>
      <c r="D37" s="54"/>
      <c r="E37" s="54"/>
      <c r="F37" s="54"/>
      <c r="G37" s="57"/>
      <c r="H37" s="53"/>
      <c r="I37" s="56"/>
      <c r="J37" s="56"/>
      <c r="K37" s="54"/>
      <c r="L37" s="57"/>
      <c r="M37" s="57"/>
      <c r="N37" s="53">
        <v>6</v>
      </c>
      <c r="O37" s="54"/>
      <c r="P37" s="54"/>
      <c r="Q37" s="64">
        <v>333</v>
      </c>
      <c r="T37" s="75"/>
      <c r="U37" s="54"/>
      <c r="V37" s="54"/>
      <c r="W37" s="60"/>
      <c r="AA37" s="60"/>
      <c r="AB37" s="77">
        <v>500</v>
      </c>
      <c r="AE37" s="84">
        <f t="shared" si="1"/>
        <v>833</v>
      </c>
    </row>
    <row r="38" spans="1:31" ht="15.75" customHeight="1" x14ac:dyDescent="0.35">
      <c r="A38" s="52">
        <v>45755</v>
      </c>
      <c r="B38" s="53"/>
      <c r="C38" s="54"/>
      <c r="D38" s="54"/>
      <c r="E38" s="54"/>
      <c r="F38" s="54"/>
      <c r="G38" s="57"/>
      <c r="H38" s="53">
        <v>10</v>
      </c>
      <c r="I38" s="56">
        <v>0</v>
      </c>
      <c r="J38" s="56"/>
      <c r="K38" s="54"/>
      <c r="L38" s="57"/>
      <c r="M38" s="57"/>
      <c r="N38" s="53"/>
      <c r="O38" s="64"/>
      <c r="P38" s="64"/>
      <c r="T38" s="75"/>
      <c r="W38" s="60"/>
      <c r="AA38" s="60"/>
      <c r="AB38" s="77">
        <v>1937</v>
      </c>
      <c r="AE38" s="84">
        <f t="shared" si="1"/>
        <v>1937</v>
      </c>
    </row>
    <row r="39" spans="1:31" ht="15.75" customHeight="1" x14ac:dyDescent="0.35">
      <c r="A39" s="52">
        <v>45756</v>
      </c>
      <c r="B39" s="53"/>
      <c r="C39" s="54"/>
      <c r="D39" s="54"/>
      <c r="E39" s="54"/>
      <c r="F39" s="54"/>
      <c r="G39" s="57"/>
      <c r="H39" s="53">
        <v>10</v>
      </c>
      <c r="I39" s="56"/>
      <c r="J39" s="56"/>
      <c r="K39" s="54">
        <v>766</v>
      </c>
      <c r="M39" s="57"/>
      <c r="N39" s="53">
        <v>9.5</v>
      </c>
      <c r="O39" s="54">
        <v>0</v>
      </c>
      <c r="P39" s="54"/>
      <c r="Q39" s="64"/>
      <c r="T39" s="75"/>
      <c r="W39" s="77"/>
      <c r="AA39" s="16"/>
      <c r="AB39" s="77">
        <v>300</v>
      </c>
      <c r="AE39" s="84">
        <f t="shared" si="1"/>
        <v>1066</v>
      </c>
    </row>
    <row r="40" spans="1:31" ht="15.75" customHeight="1" x14ac:dyDescent="0.35">
      <c r="A40" s="52">
        <v>45757</v>
      </c>
      <c r="B40" s="53">
        <v>12</v>
      </c>
      <c r="C40" s="54"/>
      <c r="D40" s="54"/>
      <c r="E40" s="54">
        <v>1730</v>
      </c>
      <c r="F40" s="54"/>
      <c r="G40" s="57"/>
      <c r="H40" s="53">
        <v>10</v>
      </c>
      <c r="I40" s="56">
        <v>154</v>
      </c>
      <c r="J40" s="56"/>
      <c r="K40" s="54"/>
      <c r="L40" s="57"/>
      <c r="M40" s="57"/>
      <c r="N40" s="53"/>
      <c r="O40" s="54"/>
      <c r="P40" s="54"/>
      <c r="T40" s="75"/>
      <c r="W40" s="77"/>
      <c r="AA40" s="16"/>
      <c r="AB40" s="77"/>
      <c r="AE40" s="84">
        <f t="shared" si="1"/>
        <v>1730</v>
      </c>
    </row>
    <row r="41" spans="1:31" ht="15.75" customHeight="1" x14ac:dyDescent="0.35">
      <c r="A41" s="52">
        <v>45758</v>
      </c>
      <c r="B41" s="53">
        <v>10</v>
      </c>
      <c r="C41" s="54">
        <v>158</v>
      </c>
      <c r="D41" s="54"/>
      <c r="E41" s="54"/>
      <c r="F41" s="54"/>
      <c r="G41" s="57"/>
      <c r="H41" s="53"/>
      <c r="I41" s="56"/>
      <c r="J41" s="56"/>
      <c r="K41" s="54"/>
      <c r="L41" s="57"/>
      <c r="M41" s="57"/>
      <c r="N41" s="53">
        <v>10</v>
      </c>
      <c r="O41" s="54"/>
      <c r="P41" s="54"/>
      <c r="Q41" s="64">
        <v>460</v>
      </c>
      <c r="T41" s="75"/>
      <c r="W41" s="77"/>
      <c r="AA41" s="60"/>
      <c r="AB41" s="77">
        <v>137</v>
      </c>
      <c r="AE41" s="84">
        <f t="shared" si="1"/>
        <v>597</v>
      </c>
    </row>
    <row r="42" spans="1:31" ht="15.75" customHeight="1" x14ac:dyDescent="0.35">
      <c r="A42" s="52">
        <v>45759</v>
      </c>
      <c r="B42" s="53">
        <v>8</v>
      </c>
      <c r="C42" s="54"/>
      <c r="D42" s="54"/>
      <c r="E42" s="54">
        <v>1710</v>
      </c>
      <c r="F42" s="54"/>
      <c r="G42" s="57"/>
      <c r="H42" s="53">
        <v>10</v>
      </c>
      <c r="I42" s="56">
        <v>112</v>
      </c>
      <c r="J42" s="56"/>
      <c r="K42" s="54"/>
      <c r="L42" s="57"/>
      <c r="M42" s="57"/>
      <c r="N42" s="53">
        <v>8</v>
      </c>
      <c r="O42" s="54"/>
      <c r="P42" s="54"/>
      <c r="Q42" s="64">
        <v>1710</v>
      </c>
      <c r="T42" s="75"/>
      <c r="W42" s="77"/>
      <c r="AA42" s="16"/>
      <c r="AB42" s="77">
        <v>320</v>
      </c>
      <c r="AE42" s="84">
        <f t="shared" si="1"/>
        <v>3740</v>
      </c>
    </row>
    <row r="43" spans="1:31" ht="15.75" customHeight="1" x14ac:dyDescent="0.35">
      <c r="A43" s="52">
        <v>45760</v>
      </c>
      <c r="B43" s="53"/>
      <c r="C43" s="54"/>
      <c r="D43" s="54"/>
      <c r="E43" s="54"/>
      <c r="F43" s="54"/>
      <c r="G43" s="57"/>
      <c r="H43" s="53">
        <v>10</v>
      </c>
      <c r="I43" s="56">
        <v>0</v>
      </c>
      <c r="J43" s="56"/>
      <c r="K43" s="54"/>
      <c r="L43" s="57"/>
      <c r="M43" s="57"/>
      <c r="N43" s="53">
        <v>6.5</v>
      </c>
      <c r="O43" s="54"/>
      <c r="P43" s="54"/>
      <c r="Q43" s="64">
        <v>621</v>
      </c>
      <c r="T43" s="75"/>
      <c r="W43" s="77"/>
      <c r="AA43" s="16"/>
      <c r="AB43" s="77">
        <v>670</v>
      </c>
      <c r="AE43" s="84">
        <f t="shared" si="1"/>
        <v>1291</v>
      </c>
    </row>
    <row r="44" spans="1:31" ht="15.75" customHeight="1" x14ac:dyDescent="0.35">
      <c r="A44" s="52">
        <v>45761</v>
      </c>
      <c r="B44" s="53"/>
      <c r="C44" s="54"/>
      <c r="D44" s="54"/>
      <c r="E44" s="54"/>
      <c r="F44" s="54"/>
      <c r="G44" s="57"/>
      <c r="H44" s="53"/>
      <c r="I44" s="56"/>
      <c r="J44" s="56"/>
      <c r="K44" s="54"/>
      <c r="L44" s="54"/>
      <c r="M44" s="57"/>
      <c r="N44" s="53">
        <v>7</v>
      </c>
      <c r="O44" s="54"/>
      <c r="P44" s="54"/>
      <c r="Q44" s="64">
        <v>215</v>
      </c>
      <c r="Z44" s="75"/>
      <c r="AA44" s="16"/>
      <c r="AB44" s="77">
        <v>155</v>
      </c>
      <c r="AE44" s="84">
        <f t="shared" si="1"/>
        <v>370</v>
      </c>
    </row>
    <row r="45" spans="1:31" ht="15.75" customHeight="1" x14ac:dyDescent="0.35">
      <c r="A45" s="52">
        <v>45762</v>
      </c>
      <c r="B45" s="53"/>
      <c r="C45" s="54"/>
      <c r="D45" s="54"/>
      <c r="E45" s="54"/>
      <c r="F45" s="54"/>
      <c r="G45" s="57"/>
      <c r="H45" s="53">
        <v>10</v>
      </c>
      <c r="I45" s="56">
        <v>234</v>
      </c>
      <c r="J45" s="56"/>
      <c r="K45" s="54"/>
      <c r="L45" s="57"/>
      <c r="M45" s="57"/>
      <c r="N45" s="53"/>
      <c r="O45" s="54"/>
      <c r="P45" s="54"/>
      <c r="Q45" s="64"/>
      <c r="Z45" s="75"/>
      <c r="AA45" s="16"/>
      <c r="AB45" s="77">
        <v>950</v>
      </c>
      <c r="AE45" s="84">
        <f t="shared" si="1"/>
        <v>950</v>
      </c>
    </row>
    <row r="46" spans="1:31" ht="15.75" customHeight="1" x14ac:dyDescent="0.35">
      <c r="A46" s="52">
        <v>45763</v>
      </c>
      <c r="B46" s="53"/>
      <c r="C46" s="54"/>
      <c r="D46" s="54"/>
      <c r="E46" s="54"/>
      <c r="F46" s="54"/>
      <c r="G46" s="57"/>
      <c r="H46" s="53">
        <v>10</v>
      </c>
      <c r="I46" s="56"/>
      <c r="J46" s="56"/>
      <c r="K46" s="54">
        <v>130</v>
      </c>
      <c r="L46" s="57"/>
      <c r="M46" s="57"/>
      <c r="N46" s="53">
        <v>9.5</v>
      </c>
      <c r="O46" s="54">
        <v>0</v>
      </c>
      <c r="P46" s="54"/>
      <c r="Q46" s="64"/>
      <c r="Z46" s="75"/>
      <c r="AA46" s="16"/>
      <c r="AB46" s="77"/>
      <c r="AE46" s="84">
        <f t="shared" si="1"/>
        <v>130</v>
      </c>
    </row>
    <row r="47" spans="1:31" ht="15.75" customHeight="1" x14ac:dyDescent="0.35">
      <c r="A47" s="52">
        <v>45764</v>
      </c>
      <c r="B47" s="53">
        <v>12</v>
      </c>
      <c r="C47" s="54"/>
      <c r="D47" s="54"/>
      <c r="E47" s="54">
        <v>2339</v>
      </c>
      <c r="F47" s="54"/>
      <c r="G47" s="57"/>
      <c r="H47" s="65">
        <v>10.5</v>
      </c>
      <c r="I47" s="56">
        <v>0</v>
      </c>
      <c r="J47" s="56"/>
      <c r="K47" s="54"/>
      <c r="L47" s="57"/>
      <c r="M47" s="57"/>
      <c r="N47" s="53"/>
      <c r="O47" s="54"/>
      <c r="P47" s="54"/>
      <c r="Q47" s="64"/>
      <c r="Z47" s="75"/>
      <c r="AA47" s="16"/>
      <c r="AB47" s="77"/>
      <c r="AE47" s="84">
        <f t="shared" si="1"/>
        <v>2339</v>
      </c>
    </row>
    <row r="48" spans="1:31" ht="15.75" customHeight="1" x14ac:dyDescent="0.35">
      <c r="A48" s="52">
        <v>45765</v>
      </c>
      <c r="B48" s="53">
        <v>11</v>
      </c>
      <c r="C48" s="54"/>
      <c r="D48" s="82">
        <v>2121</v>
      </c>
      <c r="E48" s="54"/>
      <c r="F48" s="54"/>
      <c r="G48" s="57"/>
      <c r="H48" s="65"/>
      <c r="I48" s="56"/>
      <c r="J48" s="56"/>
      <c r="K48" s="54"/>
      <c r="L48" s="57"/>
      <c r="M48" s="57"/>
      <c r="N48" s="53">
        <v>9.5</v>
      </c>
      <c r="O48" s="54"/>
      <c r="P48" s="54"/>
      <c r="Q48" s="64">
        <v>458</v>
      </c>
      <c r="Z48" s="75"/>
      <c r="AA48" s="16"/>
      <c r="AB48" s="77">
        <v>438</v>
      </c>
      <c r="AE48" s="84">
        <f t="shared" si="1"/>
        <v>896</v>
      </c>
    </row>
    <row r="49" spans="1:31" ht="15.75" customHeight="1" x14ac:dyDescent="0.35">
      <c r="A49" s="52">
        <v>45766</v>
      </c>
      <c r="B49" s="53">
        <v>8</v>
      </c>
      <c r="C49" s="54"/>
      <c r="D49" s="54"/>
      <c r="E49" s="54">
        <v>1046</v>
      </c>
      <c r="F49" s="54"/>
      <c r="G49" s="57"/>
      <c r="H49" s="53">
        <v>10</v>
      </c>
      <c r="I49" s="56"/>
      <c r="J49" s="83">
        <v>1482</v>
      </c>
      <c r="K49" s="54"/>
      <c r="L49" s="54"/>
      <c r="M49" s="57"/>
      <c r="N49" s="65">
        <v>8</v>
      </c>
      <c r="O49" s="54"/>
      <c r="P49" s="54"/>
      <c r="Q49" s="64">
        <v>1046</v>
      </c>
      <c r="T49" s="53"/>
      <c r="U49" s="54"/>
      <c r="V49" s="54"/>
      <c r="W49" s="54"/>
      <c r="Z49" s="75"/>
      <c r="AA49" s="16"/>
      <c r="AB49" s="77"/>
      <c r="AE49" s="84">
        <f t="shared" si="1"/>
        <v>2092</v>
      </c>
    </row>
    <row r="50" spans="1:31" ht="15.75" customHeight="1" x14ac:dyDescent="0.35">
      <c r="A50" s="52">
        <v>45767</v>
      </c>
      <c r="B50" s="53"/>
      <c r="C50" s="54"/>
      <c r="D50" s="54"/>
      <c r="F50" s="54"/>
      <c r="G50" s="57"/>
      <c r="H50" s="53">
        <v>10</v>
      </c>
      <c r="I50" s="56"/>
      <c r="J50" s="83">
        <v>516</v>
      </c>
      <c r="K50" s="54"/>
      <c r="L50" s="57"/>
      <c r="M50" s="57"/>
      <c r="N50" s="53">
        <v>12</v>
      </c>
      <c r="O50" s="54"/>
      <c r="P50" s="54"/>
      <c r="Q50" s="64">
        <v>1461</v>
      </c>
      <c r="Z50" s="75"/>
      <c r="AA50" s="16"/>
      <c r="AB50" s="77">
        <v>500</v>
      </c>
      <c r="AE50" s="84">
        <f t="shared" si="1"/>
        <v>1961</v>
      </c>
    </row>
    <row r="51" spans="1:31" ht="15.75" customHeight="1" x14ac:dyDescent="0.35">
      <c r="A51" s="52">
        <v>45768</v>
      </c>
      <c r="B51" s="53">
        <v>11</v>
      </c>
      <c r="C51" s="54"/>
      <c r="D51" s="82">
        <v>0</v>
      </c>
      <c r="E51" s="54"/>
      <c r="F51" s="54"/>
      <c r="G51" s="57"/>
      <c r="H51" s="53"/>
      <c r="I51" s="56"/>
      <c r="J51" s="56"/>
      <c r="K51" s="54"/>
      <c r="L51" s="57"/>
      <c r="M51" s="57"/>
      <c r="N51" s="53"/>
      <c r="O51" s="54"/>
      <c r="P51" s="54"/>
      <c r="Q51" s="64"/>
      <c r="T51" s="53">
        <v>12</v>
      </c>
      <c r="W51" s="64">
        <v>135</v>
      </c>
      <c r="Z51" s="75"/>
      <c r="AA51" s="16"/>
      <c r="AB51" s="77"/>
      <c r="AE51" s="84">
        <f t="shared" si="1"/>
        <v>135</v>
      </c>
    </row>
    <row r="52" spans="1:31" ht="15.75" customHeight="1" x14ac:dyDescent="0.35">
      <c r="A52" s="52">
        <v>45769</v>
      </c>
      <c r="B52" s="53"/>
      <c r="C52" s="54"/>
      <c r="D52" s="54"/>
      <c r="E52" s="54"/>
      <c r="F52" s="54"/>
      <c r="G52" s="57"/>
      <c r="H52" s="53">
        <v>10</v>
      </c>
      <c r="I52" s="56"/>
      <c r="J52" s="83">
        <v>168</v>
      </c>
      <c r="K52" s="54"/>
      <c r="L52" s="57"/>
      <c r="M52" s="57"/>
      <c r="N52" s="53"/>
      <c r="O52" s="54"/>
      <c r="P52" s="54"/>
      <c r="Q52" s="54"/>
      <c r="T52" s="53">
        <v>10</v>
      </c>
      <c r="W52" s="64">
        <v>568</v>
      </c>
      <c r="Z52" s="75"/>
      <c r="AA52" s="16"/>
      <c r="AB52" s="77">
        <v>550</v>
      </c>
      <c r="AE52" s="84">
        <f t="shared" si="1"/>
        <v>1118</v>
      </c>
    </row>
    <row r="53" spans="1:31" ht="15.75" customHeight="1" x14ac:dyDescent="0.35">
      <c r="A53" s="52">
        <v>45770</v>
      </c>
      <c r="B53" s="53"/>
      <c r="C53" s="54"/>
      <c r="D53" s="54"/>
      <c r="E53" s="54"/>
      <c r="F53" s="54"/>
      <c r="G53" s="57"/>
      <c r="H53" s="65"/>
      <c r="I53" s="56"/>
      <c r="J53" s="56"/>
      <c r="K53" s="54"/>
      <c r="L53" s="54"/>
      <c r="M53" s="57"/>
      <c r="N53" s="65">
        <v>11</v>
      </c>
      <c r="O53" s="54"/>
      <c r="P53" s="82">
        <v>590</v>
      </c>
      <c r="T53" s="53">
        <v>12</v>
      </c>
      <c r="W53" s="64">
        <v>40</v>
      </c>
      <c r="Z53" s="75"/>
      <c r="AA53" s="16"/>
      <c r="AB53" s="77"/>
      <c r="AE53" s="84">
        <f t="shared" si="1"/>
        <v>40</v>
      </c>
    </row>
    <row r="54" spans="1:31" ht="15.75" customHeight="1" x14ac:dyDescent="0.35">
      <c r="A54" s="52">
        <v>45771</v>
      </c>
      <c r="B54" s="53">
        <v>12</v>
      </c>
      <c r="C54" s="54"/>
      <c r="D54" s="54"/>
      <c r="E54" s="54">
        <v>1455</v>
      </c>
      <c r="F54" s="54"/>
      <c r="G54" s="57"/>
      <c r="H54" s="53">
        <v>10.5</v>
      </c>
      <c r="I54" s="56"/>
      <c r="J54" s="83">
        <v>945</v>
      </c>
      <c r="K54" s="54"/>
      <c r="L54" s="57"/>
      <c r="M54" s="57"/>
      <c r="N54" s="53"/>
      <c r="O54" s="54"/>
      <c r="P54" s="54"/>
      <c r="R54" s="16"/>
      <c r="T54" s="53"/>
      <c r="W54" s="64"/>
      <c r="Z54" s="75"/>
      <c r="AA54" s="16"/>
      <c r="AB54" s="77"/>
      <c r="AE54" s="84">
        <f t="shared" si="1"/>
        <v>1455</v>
      </c>
    </row>
    <row r="55" spans="1:31" ht="15.75" customHeight="1" x14ac:dyDescent="0.35">
      <c r="A55" s="52">
        <v>45772</v>
      </c>
      <c r="B55" s="53">
        <v>10</v>
      </c>
      <c r="C55" s="54">
        <v>40</v>
      </c>
      <c r="D55" s="54"/>
      <c r="E55" s="54"/>
      <c r="F55" s="54"/>
      <c r="G55" s="57"/>
      <c r="H55" s="65"/>
      <c r="I55" s="56"/>
      <c r="J55" s="56"/>
      <c r="K55" s="54"/>
      <c r="L55" s="57"/>
      <c r="M55" s="57"/>
      <c r="N55" s="53">
        <v>7</v>
      </c>
      <c r="O55" s="54"/>
      <c r="P55" s="54"/>
      <c r="Q55" s="64">
        <v>270</v>
      </c>
      <c r="T55" s="53"/>
      <c r="W55" s="64"/>
      <c r="Z55" s="75"/>
      <c r="AA55" s="16"/>
      <c r="AB55" s="77"/>
      <c r="AE55" s="84">
        <f t="shared" si="1"/>
        <v>270</v>
      </c>
    </row>
    <row r="56" spans="1:31" ht="15.75" customHeight="1" x14ac:dyDescent="0.35">
      <c r="A56" s="52">
        <v>45773</v>
      </c>
      <c r="B56" s="53">
        <v>12</v>
      </c>
      <c r="C56" s="54"/>
      <c r="D56" s="54"/>
      <c r="E56" s="54">
        <v>1939</v>
      </c>
      <c r="F56" s="54"/>
      <c r="G56" s="57"/>
      <c r="H56" s="53">
        <v>10</v>
      </c>
      <c r="I56" s="56">
        <v>623</v>
      </c>
      <c r="J56" s="56"/>
      <c r="K56" s="54"/>
      <c r="L56" s="57"/>
      <c r="M56" s="57"/>
      <c r="N56" s="53"/>
      <c r="O56" s="54"/>
      <c r="P56" s="54"/>
      <c r="Q56" s="64"/>
      <c r="T56" s="53"/>
      <c r="W56" s="64"/>
      <c r="Z56" s="75"/>
      <c r="AA56" s="16"/>
      <c r="AB56" s="77"/>
      <c r="AE56" s="84">
        <f t="shared" si="1"/>
        <v>1939</v>
      </c>
    </row>
    <row r="57" spans="1:31" ht="15.75" customHeight="1" x14ac:dyDescent="0.35">
      <c r="A57" s="52">
        <v>45774</v>
      </c>
      <c r="B57" s="53"/>
      <c r="C57" s="54"/>
      <c r="E57" s="54"/>
      <c r="F57" s="54"/>
      <c r="G57" s="57"/>
      <c r="H57" s="53">
        <v>9.5</v>
      </c>
      <c r="I57" s="56">
        <v>0</v>
      </c>
      <c r="J57" s="56"/>
      <c r="K57" s="54"/>
      <c r="L57" s="60"/>
      <c r="M57" s="57"/>
      <c r="N57" s="53">
        <v>7</v>
      </c>
      <c r="O57" s="54"/>
      <c r="P57" s="54"/>
      <c r="Q57" s="64">
        <v>0</v>
      </c>
      <c r="T57" s="53">
        <v>8</v>
      </c>
      <c r="W57" s="64">
        <v>216</v>
      </c>
      <c r="Z57" s="75"/>
      <c r="AA57" s="16"/>
      <c r="AB57" s="77"/>
      <c r="AE57" s="84">
        <f t="shared" si="1"/>
        <v>216</v>
      </c>
    </row>
    <row r="58" spans="1:31" ht="15.75" customHeight="1" x14ac:dyDescent="0.35">
      <c r="A58" s="52">
        <v>45775</v>
      </c>
      <c r="B58" s="53">
        <v>10</v>
      </c>
      <c r="C58" s="54">
        <v>0</v>
      </c>
      <c r="D58" s="54"/>
      <c r="E58" s="54"/>
      <c r="F58" s="54"/>
      <c r="G58" s="57"/>
      <c r="H58" s="53"/>
      <c r="I58" s="56"/>
      <c r="J58" s="56"/>
      <c r="K58" s="54"/>
      <c r="L58" s="57"/>
      <c r="M58" s="57"/>
      <c r="N58" s="53"/>
      <c r="O58" s="54"/>
      <c r="P58" s="54"/>
      <c r="Q58" s="64"/>
      <c r="T58" s="53">
        <v>2</v>
      </c>
      <c r="W58" s="64">
        <v>0</v>
      </c>
      <c r="Z58" s="75"/>
      <c r="AA58" s="16"/>
      <c r="AB58" s="77">
        <v>1286</v>
      </c>
      <c r="AE58" s="84">
        <f t="shared" si="1"/>
        <v>1286</v>
      </c>
    </row>
    <row r="59" spans="1:31" ht="15.75" customHeight="1" x14ac:dyDescent="0.35">
      <c r="A59" s="52">
        <v>45776</v>
      </c>
      <c r="B59" s="53"/>
      <c r="C59" s="54"/>
      <c r="D59" s="54"/>
      <c r="E59" s="54"/>
      <c r="F59" s="54"/>
      <c r="G59" s="57"/>
      <c r="H59" s="53">
        <v>10</v>
      </c>
      <c r="I59" s="56">
        <v>0</v>
      </c>
      <c r="J59" s="56"/>
      <c r="K59" s="54"/>
      <c r="L59" s="57"/>
      <c r="M59" s="57"/>
      <c r="N59" s="66"/>
      <c r="O59" s="54"/>
      <c r="P59" s="54"/>
      <c r="Q59" s="64"/>
      <c r="T59" s="53">
        <v>12</v>
      </c>
      <c r="W59" s="64">
        <v>507</v>
      </c>
      <c r="Z59" s="75"/>
      <c r="AA59" s="16"/>
      <c r="AB59" s="77"/>
      <c r="AE59" s="84">
        <f t="shared" si="1"/>
        <v>507</v>
      </c>
    </row>
    <row r="60" spans="1:31" ht="15.75" customHeight="1" x14ac:dyDescent="0.35">
      <c r="A60" s="52">
        <v>45777</v>
      </c>
      <c r="B60" s="53"/>
      <c r="C60" s="54"/>
      <c r="D60" s="54"/>
      <c r="E60" s="54"/>
      <c r="F60" s="54"/>
      <c r="G60" s="57"/>
      <c r="H60" s="53"/>
      <c r="I60" s="56"/>
      <c r="J60" s="56"/>
      <c r="K60" s="54"/>
      <c r="L60" s="57"/>
      <c r="M60" s="57"/>
      <c r="N60" s="66"/>
      <c r="O60" s="54"/>
      <c r="P60" s="54"/>
      <c r="Q60" s="64"/>
      <c r="T60" s="53">
        <v>9</v>
      </c>
      <c r="W60" s="64">
        <v>0</v>
      </c>
      <c r="Z60" s="75"/>
      <c r="AA60" s="16"/>
      <c r="AB60" s="77">
        <v>1316</v>
      </c>
      <c r="AE60" s="84">
        <f t="shared" si="1"/>
        <v>1316</v>
      </c>
    </row>
    <row r="61" spans="1:31" ht="15.75" customHeight="1" x14ac:dyDescent="0.35">
      <c r="A61" s="52"/>
      <c r="B61" s="53"/>
      <c r="C61" s="54"/>
      <c r="D61" s="54"/>
      <c r="E61" s="54"/>
      <c r="F61" s="54"/>
      <c r="G61" s="57"/>
      <c r="H61" s="53"/>
      <c r="I61" s="56"/>
      <c r="J61" s="56"/>
      <c r="K61" s="54"/>
      <c r="L61" s="57"/>
      <c r="M61" s="57"/>
      <c r="N61" s="66"/>
      <c r="O61" s="54"/>
      <c r="P61" s="54"/>
      <c r="Q61" s="54"/>
      <c r="Z61" s="75"/>
      <c r="AA61" s="16"/>
      <c r="AB61" s="77"/>
    </row>
    <row r="62" spans="1:31" x14ac:dyDescent="0.35">
      <c r="Z62" s="76"/>
      <c r="AA62" s="16"/>
      <c r="AB62" s="77"/>
    </row>
    <row r="63" spans="1:31" x14ac:dyDescent="0.35">
      <c r="Z63" s="76"/>
      <c r="AA63" s="16"/>
      <c r="AB63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1ADF-19E3-4425-A770-C721A5EC7DB7}">
  <dimension ref="A1:AA61"/>
  <sheetViews>
    <sheetView zoomScale="94" zoomScaleNormal="94" workbookViewId="0">
      <selection sqref="A1:XFD1048576"/>
    </sheetView>
  </sheetViews>
  <sheetFormatPr defaultColWidth="12.6328125" defaultRowHeight="14.5" x14ac:dyDescent="0.35"/>
  <cols>
    <col min="1" max="1" width="20.54296875" customWidth="1"/>
    <col min="2" max="2" width="13" customWidth="1"/>
    <col min="3" max="3" width="9.81640625" customWidth="1"/>
    <col min="4" max="4" width="10.1796875" customWidth="1"/>
    <col min="5" max="5" width="9.6328125" customWidth="1"/>
    <col min="6" max="6" width="2.1796875" customWidth="1"/>
    <col min="7" max="7" width="10.3632812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6328125" customWidth="1"/>
    <col min="13" max="14" width="10.1796875" customWidth="1"/>
    <col min="15" max="15" width="8.1796875" customWidth="1"/>
    <col min="16" max="16" width="2.1796875" customWidth="1"/>
    <col min="17" max="17" width="11.26953125" style="7" customWidth="1"/>
    <col min="18" max="18" width="9.54296875" style="7" customWidth="1"/>
    <col min="19" max="19" width="11.7265625" style="7" customWidth="1"/>
    <col min="20" max="20" width="8.36328125" style="7" customWidth="1"/>
    <col min="21" max="21" width="2.1796875" customWidth="1"/>
    <col min="22" max="22" width="11.26953125" style="73" customWidth="1"/>
    <col min="23" max="23" width="10.453125" customWidth="1"/>
    <col min="24" max="24" width="11.54296875" customWidth="1"/>
    <col min="25" max="25" width="9.26953125" customWidth="1"/>
    <col min="26" max="26" width="2.7265625" customWidth="1"/>
    <col min="27" max="27" width="10.08984375" customWidth="1"/>
  </cols>
  <sheetData>
    <row r="1" spans="1:22" ht="15.75" customHeight="1" x14ac:dyDescent="0.35">
      <c r="A1" s="1" t="s">
        <v>39</v>
      </c>
      <c r="C1" s="2"/>
      <c r="D1" s="2"/>
      <c r="E1" s="3" t="s">
        <v>0</v>
      </c>
      <c r="L1" s="5"/>
      <c r="M1" s="6"/>
      <c r="N1" s="6"/>
      <c r="V1" s="68"/>
    </row>
    <row r="2" spans="1:22" ht="15.75" customHeight="1" x14ac:dyDescent="0.35">
      <c r="A2" s="8"/>
      <c r="B2" s="9"/>
      <c r="C2" s="2"/>
      <c r="D2" s="2"/>
      <c r="L2" s="5"/>
      <c r="M2" s="6"/>
      <c r="N2" s="6"/>
      <c r="V2" s="68"/>
    </row>
    <row r="3" spans="1:22" ht="15.75" customHeight="1" x14ac:dyDescent="0.35">
      <c r="A3" s="8"/>
      <c r="B3" s="10"/>
      <c r="C3" s="2"/>
      <c r="D3" s="2"/>
      <c r="L3" s="5"/>
      <c r="M3" s="6"/>
      <c r="N3" s="6"/>
      <c r="V3" s="68"/>
    </row>
    <row r="4" spans="1:22" ht="15.75" customHeight="1" x14ac:dyDescent="0.35">
      <c r="A4" s="3" t="s">
        <v>1</v>
      </c>
      <c r="B4" s="11">
        <f>B13+G13+L13+Q13</f>
        <v>649</v>
      </c>
      <c r="C4" s="2"/>
      <c r="D4" s="2"/>
      <c r="L4" s="5"/>
      <c r="M4" s="6"/>
      <c r="N4" s="6"/>
      <c r="V4" s="68"/>
    </row>
    <row r="5" spans="1:22" ht="15.75" customHeight="1" x14ac:dyDescent="0.35">
      <c r="A5" s="3" t="s">
        <v>40</v>
      </c>
      <c r="B5" s="12">
        <f>B14+G14+L14+Q14+V14</f>
        <v>5790</v>
      </c>
      <c r="C5" s="2"/>
      <c r="D5" s="2"/>
      <c r="L5" s="5"/>
      <c r="M5" s="6"/>
      <c r="N5" s="6"/>
      <c r="V5" s="68"/>
    </row>
    <row r="6" spans="1:22" ht="15.75" customHeight="1" x14ac:dyDescent="0.35">
      <c r="A6" s="8" t="s">
        <v>35</v>
      </c>
      <c r="B6" s="13">
        <f>B15+G15+L15+Q15+V15</f>
        <v>28117.9</v>
      </c>
      <c r="C6" s="2"/>
      <c r="D6" s="2"/>
      <c r="L6" s="5"/>
      <c r="M6" s="6"/>
      <c r="N6" s="6"/>
      <c r="V6" s="68"/>
    </row>
    <row r="7" spans="1:22" ht="15.75" customHeight="1" x14ac:dyDescent="0.35">
      <c r="A7" s="3" t="s">
        <v>4</v>
      </c>
      <c r="B7" s="14">
        <f>B5+B6+C7</f>
        <v>34837.9</v>
      </c>
      <c r="C7" s="15">
        <f>C16+H16+M16+R17+W16</f>
        <v>930</v>
      </c>
      <c r="D7" s="15"/>
      <c r="E7" s="16"/>
      <c r="L7" s="5"/>
      <c r="M7" s="6"/>
      <c r="N7" s="6"/>
      <c r="V7" s="68"/>
    </row>
    <row r="8" spans="1:22" ht="15.75" customHeight="1" x14ac:dyDescent="0.35">
      <c r="A8" s="3" t="s">
        <v>5</v>
      </c>
      <c r="B8" s="14">
        <f>B21+G21+L21+Q21</f>
        <v>10366.290000000001</v>
      </c>
      <c r="C8" s="2"/>
      <c r="D8" s="2"/>
      <c r="L8" s="5"/>
      <c r="M8" s="6"/>
      <c r="N8" s="6"/>
      <c r="V8" s="68"/>
    </row>
    <row r="9" spans="1:22" ht="15.75" customHeight="1" x14ac:dyDescent="0.35">
      <c r="A9" s="3"/>
      <c r="B9" s="17"/>
      <c r="L9" s="5"/>
      <c r="M9" s="6"/>
      <c r="N9" s="6"/>
      <c r="V9" s="68"/>
    </row>
    <row r="10" spans="1:22" ht="15.75" customHeight="1" x14ac:dyDescent="0.35">
      <c r="A10" s="3" t="s">
        <v>6</v>
      </c>
      <c r="B10" s="14">
        <f>B8+B22+L25</f>
        <v>10566.29</v>
      </c>
      <c r="C10" s="2"/>
      <c r="D10" s="2"/>
      <c r="L10" s="5"/>
      <c r="M10" s="6"/>
      <c r="N10" s="6"/>
      <c r="V10" s="68"/>
    </row>
    <row r="11" spans="1:22" ht="15.75" customHeight="1" x14ac:dyDescent="0.35">
      <c r="B11" s="18"/>
      <c r="C11" s="2"/>
      <c r="D11" s="2"/>
      <c r="G11" s="18"/>
      <c r="L11" s="5"/>
      <c r="M11" s="6"/>
      <c r="N11" s="6"/>
      <c r="Q11" s="19"/>
      <c r="V11" s="68"/>
    </row>
    <row r="12" spans="1:22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33</v>
      </c>
      <c r="V12" s="69" t="s">
        <v>11</v>
      </c>
    </row>
    <row r="13" spans="1:22" ht="15.75" customHeight="1" x14ac:dyDescent="0.35">
      <c r="A13" s="18" t="s">
        <v>12</v>
      </c>
      <c r="B13" s="22">
        <f>SUM(B29:B61)</f>
        <v>186</v>
      </c>
      <c r="C13" s="2"/>
      <c r="D13" s="2"/>
      <c r="G13" s="23">
        <f>SUM(G29:G59)</f>
        <v>231</v>
      </c>
      <c r="H13" s="20"/>
      <c r="I13" s="5"/>
      <c r="J13" s="5"/>
      <c r="L13" s="23">
        <f>SUM(L29:L61)</f>
        <v>96</v>
      </c>
      <c r="M13" s="6"/>
      <c r="N13" s="6"/>
      <c r="Q13" s="23">
        <f>SUM(Q27:Q59)</f>
        <v>136</v>
      </c>
      <c r="R13" s="20"/>
      <c r="S13" s="79"/>
      <c r="T13" s="5"/>
      <c r="V13" s="70"/>
    </row>
    <row r="14" spans="1:22" ht="15.75" customHeight="1" x14ac:dyDescent="0.35">
      <c r="A14" s="3" t="s">
        <v>40</v>
      </c>
      <c r="B14" s="24">
        <f>SUM(C29:C59)</f>
        <v>3503</v>
      </c>
      <c r="C14" s="2"/>
      <c r="D14" s="2"/>
      <c r="G14" s="25">
        <f>SUM(H29:H59)</f>
        <v>1527</v>
      </c>
      <c r="H14" s="20"/>
      <c r="I14" s="5"/>
      <c r="J14" s="5"/>
      <c r="L14" s="25">
        <f>SUM(M29:M59)</f>
        <v>740</v>
      </c>
      <c r="M14" s="6"/>
      <c r="N14" s="6"/>
      <c r="Q14" s="25">
        <f>SUM(R29:R59)</f>
        <v>20</v>
      </c>
      <c r="R14" s="20"/>
      <c r="S14" s="20"/>
      <c r="T14" s="5"/>
      <c r="V14" s="71">
        <f>SUM(W29:W59)</f>
        <v>0</v>
      </c>
    </row>
    <row r="15" spans="1:22" ht="15.75" customHeight="1" x14ac:dyDescent="0.35">
      <c r="A15" s="21" t="s">
        <v>35</v>
      </c>
      <c r="B15" s="25">
        <f>SUM(D29:D59)</f>
        <v>9638.9</v>
      </c>
      <c r="C15" s="2"/>
      <c r="D15" s="2"/>
      <c r="G15" s="25">
        <f>SUM(I29:I59)</f>
        <v>3010.5</v>
      </c>
      <c r="H15" s="20"/>
      <c r="I15" s="5"/>
      <c r="J15" s="5"/>
      <c r="L15" s="25">
        <f>SUM(N29:N59)</f>
        <v>5661.5</v>
      </c>
      <c r="M15" s="6"/>
      <c r="N15" s="6"/>
      <c r="Q15" s="25">
        <f>SUM(S29:S59)</f>
        <v>5382</v>
      </c>
      <c r="R15" s="20"/>
      <c r="S15" s="20"/>
      <c r="T15" s="5"/>
      <c r="V15" s="71">
        <f>SUM(X29:X59)</f>
        <v>4425</v>
      </c>
    </row>
    <row r="16" spans="1:22" ht="15.75" customHeight="1" x14ac:dyDescent="0.35">
      <c r="A16" s="18" t="s">
        <v>13</v>
      </c>
      <c r="B16" s="25">
        <f>B14+B15</f>
        <v>13141.9</v>
      </c>
      <c r="C16" s="28">
        <f>SUM(E29:E60)</f>
        <v>130</v>
      </c>
      <c r="D16" s="26"/>
      <c r="E16" s="27"/>
      <c r="G16" s="25">
        <f>G14+G15+H16</f>
        <v>4937.5</v>
      </c>
      <c r="H16" s="28">
        <f>SUM(J29:J60)</f>
        <v>400</v>
      </c>
      <c r="I16" s="29"/>
      <c r="J16" s="30"/>
      <c r="L16" s="25">
        <f>L14+L15+M16</f>
        <v>6801.5</v>
      </c>
      <c r="M16" s="26">
        <f>SUM(O29:O59)</f>
        <v>400</v>
      </c>
      <c r="N16" s="31"/>
      <c r="O16" s="30"/>
      <c r="Q16" s="25">
        <f>Q14+Q15</f>
        <v>5402</v>
      </c>
      <c r="R16" s="28">
        <f>SUM(U29:U60)</f>
        <v>0</v>
      </c>
      <c r="S16" s="28"/>
      <c r="T16" s="26"/>
      <c r="V16" s="71">
        <f>V14+V15</f>
        <v>4425</v>
      </c>
    </row>
    <row r="17" spans="1:27" ht="15.75" customHeight="1" x14ac:dyDescent="0.35">
      <c r="A17" s="5" t="s">
        <v>14</v>
      </c>
      <c r="B17" s="24">
        <v>12</v>
      </c>
      <c r="C17" s="2"/>
      <c r="D17" s="2"/>
      <c r="G17" s="25">
        <v>11</v>
      </c>
      <c r="H17" s="20"/>
      <c r="I17" s="5"/>
      <c r="J17" s="5"/>
      <c r="L17" s="25">
        <v>12</v>
      </c>
      <c r="M17" s="6"/>
      <c r="N17" s="6"/>
      <c r="Q17" s="25">
        <v>10</v>
      </c>
      <c r="R17" s="20"/>
      <c r="S17" s="20"/>
      <c r="T17" s="5"/>
      <c r="V17" s="71"/>
      <c r="W17" s="5"/>
      <c r="X17" s="5"/>
      <c r="Y17" s="5"/>
    </row>
    <row r="18" spans="1:27" ht="15.75" customHeight="1" x14ac:dyDescent="0.35">
      <c r="A18" s="5" t="s">
        <v>15</v>
      </c>
      <c r="B18" s="32">
        <v>10</v>
      </c>
      <c r="C18" s="6">
        <v>10</v>
      </c>
      <c r="D18" s="6"/>
      <c r="G18" s="33">
        <v>10</v>
      </c>
      <c r="H18" s="20">
        <v>10</v>
      </c>
      <c r="I18" s="5"/>
      <c r="J18" s="5"/>
      <c r="L18" s="33">
        <v>10</v>
      </c>
      <c r="M18" s="6">
        <v>10</v>
      </c>
      <c r="N18" s="6"/>
      <c r="O18" s="5"/>
      <c r="Q18" s="33">
        <v>10</v>
      </c>
      <c r="R18" s="20">
        <v>10</v>
      </c>
      <c r="S18" s="20"/>
      <c r="T18" s="5"/>
      <c r="V18" s="72"/>
      <c r="W18" s="5"/>
      <c r="X18" s="5"/>
      <c r="Y18" s="5"/>
    </row>
    <row r="19" spans="1:27" ht="15.75" customHeight="1" x14ac:dyDescent="0.35">
      <c r="A19" s="5" t="s">
        <v>16</v>
      </c>
      <c r="B19" s="24">
        <f>B17*B13</f>
        <v>2232</v>
      </c>
      <c r="D19" s="6"/>
      <c r="G19" s="25">
        <f>G17*G13</f>
        <v>2541</v>
      </c>
      <c r="H19" s="20"/>
      <c r="I19" s="5"/>
      <c r="J19" s="5"/>
      <c r="L19" s="25">
        <f>L17*L13</f>
        <v>1152</v>
      </c>
      <c r="M19" s="6"/>
      <c r="N19" s="6"/>
      <c r="O19" s="5"/>
      <c r="Q19" s="25">
        <f>Q17*Q13</f>
        <v>1360</v>
      </c>
      <c r="R19" s="20"/>
      <c r="S19" s="20"/>
      <c r="T19" s="5"/>
      <c r="V19" s="71"/>
      <c r="W19" s="5"/>
      <c r="X19" s="5"/>
      <c r="Y19" s="5"/>
    </row>
    <row r="20" spans="1:27" ht="15.75" customHeight="1" x14ac:dyDescent="0.35">
      <c r="A20" s="5" t="s">
        <v>17</v>
      </c>
      <c r="B20" s="25">
        <f>B16*(B18/100)+C20</f>
        <v>1327.19</v>
      </c>
      <c r="C20" s="34">
        <f>C16*(C18/100)</f>
        <v>13</v>
      </c>
      <c r="D20" s="34"/>
      <c r="E20" s="31" t="s">
        <v>18</v>
      </c>
      <c r="G20" s="25">
        <f>G16*(G18/100)</f>
        <v>493.75</v>
      </c>
      <c r="H20" s="28">
        <f>H16*(H18/100)</f>
        <v>40</v>
      </c>
      <c r="I20" s="29"/>
      <c r="J20" s="31"/>
      <c r="L20" s="25">
        <f>L16*(L18/100)+M20</f>
        <v>720.15000000000009</v>
      </c>
      <c r="M20" s="28">
        <f>M16*(M18/100)</f>
        <v>40</v>
      </c>
      <c r="N20" s="6"/>
      <c r="O20" s="31"/>
      <c r="Q20" s="25">
        <f>Q16*(Q18/100)+R20</f>
        <v>540.20000000000005</v>
      </c>
      <c r="R20" s="28">
        <f t="shared" ref="R20" si="0">R16*(R18/100)</f>
        <v>0</v>
      </c>
      <c r="S20" s="28"/>
      <c r="T20" s="26"/>
      <c r="V20" s="71"/>
      <c r="W20" s="5"/>
      <c r="X20" s="5"/>
      <c r="Y20" s="5"/>
    </row>
    <row r="21" spans="1:27" ht="15.75" customHeight="1" x14ac:dyDescent="0.35">
      <c r="A21" s="5" t="s">
        <v>19</v>
      </c>
      <c r="B21" s="24">
        <f>B19+B20</f>
        <v>3559.19</v>
      </c>
      <c r="C21" s="6"/>
      <c r="D21" s="6"/>
      <c r="G21" s="25">
        <f>G19+G20</f>
        <v>3034.75</v>
      </c>
      <c r="H21" s="20"/>
      <c r="I21" s="5"/>
      <c r="J21" s="5"/>
      <c r="L21" s="25">
        <f>L19+L20</f>
        <v>1872.15</v>
      </c>
      <c r="M21" s="6"/>
      <c r="N21" s="6"/>
      <c r="O21" s="5"/>
      <c r="Q21" s="25">
        <f>Q19+Q20</f>
        <v>1900.2</v>
      </c>
      <c r="R21" s="20"/>
      <c r="S21" s="20"/>
      <c r="T21" s="5"/>
      <c r="V21" s="71"/>
      <c r="W21" s="5"/>
      <c r="X21" s="5"/>
      <c r="Y21" s="5"/>
    </row>
    <row r="22" spans="1:27" ht="15.75" customHeight="1" x14ac:dyDescent="0.35">
      <c r="A22" s="35" t="s">
        <v>20</v>
      </c>
      <c r="B22" s="36"/>
      <c r="C22" s="6"/>
      <c r="D22" s="6"/>
      <c r="G22" s="24"/>
      <c r="H22" s="20"/>
      <c r="I22" s="5"/>
      <c r="J22" s="5"/>
      <c r="L22" s="24"/>
      <c r="M22" s="6"/>
      <c r="N22" s="6"/>
      <c r="O22" s="5"/>
      <c r="Q22" s="24"/>
      <c r="R22" s="20"/>
      <c r="S22" s="20"/>
      <c r="T22" s="5"/>
      <c r="V22" s="40"/>
      <c r="W22" s="5"/>
      <c r="X22" s="5"/>
      <c r="Y22" s="5"/>
    </row>
    <row r="23" spans="1:27" ht="15.75" customHeight="1" x14ac:dyDescent="0.35">
      <c r="A23" s="35" t="s">
        <v>21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20"/>
      <c r="S23" s="20"/>
      <c r="T23" s="5"/>
      <c r="W23" s="5"/>
      <c r="X23" s="5"/>
      <c r="Y23" s="5"/>
    </row>
    <row r="24" spans="1:27" ht="15.75" customHeight="1" x14ac:dyDescent="0.35">
      <c r="A24" s="35" t="s">
        <v>22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20"/>
      <c r="S24" s="20"/>
      <c r="T24" s="5"/>
      <c r="V24" s="40"/>
      <c r="W24" s="5"/>
      <c r="X24" s="5"/>
      <c r="Y24" s="5"/>
    </row>
    <row r="25" spans="1:27" x14ac:dyDescent="0.35">
      <c r="A25" s="5" t="s">
        <v>23</v>
      </c>
      <c r="B25" s="24"/>
      <c r="C25" s="37"/>
      <c r="D25" s="37"/>
      <c r="G25" s="24"/>
      <c r="H25" s="38"/>
      <c r="I25" s="39"/>
      <c r="J25" s="5"/>
      <c r="L25" s="40">
        <v>200</v>
      </c>
      <c r="M25" s="37"/>
      <c r="N25" s="37"/>
      <c r="O25" s="5"/>
      <c r="Q25" s="24"/>
      <c r="R25" s="38"/>
      <c r="S25" s="38"/>
      <c r="T25" s="39"/>
      <c r="V25" s="40"/>
      <c r="W25" s="5"/>
      <c r="X25" s="5"/>
      <c r="Y25" s="5"/>
    </row>
    <row r="26" spans="1:27" x14ac:dyDescent="0.35">
      <c r="A26" s="5" t="s">
        <v>24</v>
      </c>
      <c r="B26" s="41">
        <f>B21-B23+B25</f>
        <v>3559.19</v>
      </c>
      <c r="C26" s="6"/>
      <c r="D26" s="6"/>
      <c r="G26" s="42">
        <f>G21-G24+G25</f>
        <v>3034.75</v>
      </c>
      <c r="H26" s="20"/>
      <c r="I26" s="5"/>
      <c r="J26" s="5"/>
      <c r="L26" s="42">
        <f>L21+L25</f>
        <v>2072.15</v>
      </c>
      <c r="O26" s="5"/>
      <c r="Q26" s="42">
        <f>Q21-Q24+Q25</f>
        <v>1900.2</v>
      </c>
      <c r="R26" s="20"/>
      <c r="S26" s="20"/>
      <c r="T26" s="5"/>
      <c r="V26" s="74"/>
      <c r="W26" s="5"/>
      <c r="X26" s="5"/>
      <c r="Y26" s="5"/>
    </row>
    <row r="27" spans="1:27" ht="15.75" customHeight="1" x14ac:dyDescent="0.35">
      <c r="A27" s="5"/>
      <c r="B27" s="5"/>
      <c r="C27" s="6"/>
      <c r="D27" s="6"/>
      <c r="G27" s="5"/>
      <c r="H27" s="20"/>
      <c r="I27" s="5"/>
      <c r="J27" s="5"/>
      <c r="L27" s="5"/>
      <c r="M27" s="6"/>
      <c r="N27" s="6"/>
      <c r="O27" s="5"/>
      <c r="Q27" s="44"/>
      <c r="R27" s="44"/>
      <c r="S27" s="44"/>
      <c r="V27" s="68"/>
      <c r="W27" s="5"/>
      <c r="X27" s="5"/>
      <c r="Y27" s="5"/>
    </row>
    <row r="28" spans="1:27" ht="36" customHeight="1" x14ac:dyDescent="0.35">
      <c r="A28" s="5" t="s">
        <v>25</v>
      </c>
      <c r="B28" s="45" t="s">
        <v>26</v>
      </c>
      <c r="C28" s="46" t="s">
        <v>27</v>
      </c>
      <c r="D28" s="67" t="s">
        <v>36</v>
      </c>
      <c r="E28" s="47" t="s">
        <v>29</v>
      </c>
      <c r="F28" s="48" t="s">
        <v>30</v>
      </c>
      <c r="G28" s="45" t="s">
        <v>26</v>
      </c>
      <c r="H28" s="46" t="s">
        <v>27</v>
      </c>
      <c r="I28" s="67" t="s">
        <v>36</v>
      </c>
      <c r="J28" s="47" t="s">
        <v>29</v>
      </c>
      <c r="L28" s="45" t="s">
        <v>26</v>
      </c>
      <c r="M28" s="80" t="s">
        <v>27</v>
      </c>
      <c r="N28" s="67" t="s">
        <v>36</v>
      </c>
      <c r="O28" s="47" t="s">
        <v>29</v>
      </c>
      <c r="Q28" s="45" t="s">
        <v>26</v>
      </c>
      <c r="R28" s="50"/>
      <c r="S28" s="67" t="s">
        <v>36</v>
      </c>
      <c r="T28" s="51"/>
      <c r="V28" s="45"/>
      <c r="W28" s="49" t="s">
        <v>27</v>
      </c>
      <c r="X28" s="67" t="s">
        <v>36</v>
      </c>
      <c r="Y28" s="47" t="s">
        <v>29</v>
      </c>
      <c r="AA28" s="85"/>
    </row>
    <row r="29" spans="1:27" ht="15.75" customHeight="1" x14ac:dyDescent="0.35">
      <c r="A29" s="52">
        <v>45778</v>
      </c>
      <c r="B29" s="53">
        <v>12</v>
      </c>
      <c r="C29" s="54"/>
      <c r="D29" s="54">
        <v>1087</v>
      </c>
      <c r="E29" s="54"/>
      <c r="F29" s="54"/>
      <c r="G29" s="55">
        <v>10</v>
      </c>
      <c r="H29" s="56">
        <v>0</v>
      </c>
      <c r="I29" s="54"/>
      <c r="J29" s="57"/>
      <c r="K29" s="57"/>
      <c r="L29" s="53"/>
      <c r="M29" s="54"/>
      <c r="N29" s="54"/>
      <c r="O29" s="54"/>
      <c r="P29" s="57"/>
      <c r="Q29" s="58"/>
      <c r="R29" s="59"/>
      <c r="S29" s="59"/>
      <c r="T29" s="59"/>
      <c r="U29" s="57"/>
      <c r="V29" s="66"/>
      <c r="W29" s="60"/>
      <c r="X29" s="60"/>
      <c r="Y29" s="57"/>
    </row>
    <row r="30" spans="1:27" ht="15.75" customHeight="1" x14ac:dyDescent="0.35">
      <c r="A30" s="52">
        <v>45779</v>
      </c>
      <c r="B30" s="53">
        <v>10</v>
      </c>
      <c r="C30" s="54">
        <v>462</v>
      </c>
      <c r="D30" s="54"/>
      <c r="E30" s="54"/>
      <c r="F30" s="54"/>
      <c r="G30" s="53">
        <v>10</v>
      </c>
      <c r="I30" s="54">
        <v>120</v>
      </c>
      <c r="J30" s="57"/>
      <c r="K30" s="57"/>
      <c r="L30" s="53"/>
      <c r="M30" s="54"/>
      <c r="N30" s="54"/>
      <c r="O30" s="54"/>
      <c r="P30" s="57"/>
      <c r="Q30" s="58"/>
      <c r="R30" s="59"/>
      <c r="S30" s="59"/>
      <c r="T30" s="59"/>
      <c r="U30" s="57"/>
      <c r="V30" s="66"/>
      <c r="W30" s="60"/>
      <c r="X30" s="60">
        <v>290</v>
      </c>
      <c r="Y30" s="57"/>
      <c r="AA30" s="78"/>
    </row>
    <row r="31" spans="1:27" ht="15.75" customHeight="1" x14ac:dyDescent="0.35">
      <c r="A31" s="52">
        <v>45780</v>
      </c>
      <c r="B31" s="53">
        <v>8</v>
      </c>
      <c r="C31" s="54"/>
      <c r="D31" s="54">
        <v>903</v>
      </c>
      <c r="E31" s="54"/>
      <c r="F31" s="57"/>
      <c r="G31" s="53">
        <v>9</v>
      </c>
      <c r="H31" s="61">
        <v>0</v>
      </c>
      <c r="I31" s="54"/>
      <c r="J31" s="57"/>
      <c r="K31" s="57"/>
      <c r="L31" s="53">
        <v>8</v>
      </c>
      <c r="M31" s="54"/>
      <c r="N31" s="54">
        <v>903</v>
      </c>
      <c r="O31" s="54"/>
      <c r="P31" s="57"/>
      <c r="Q31" s="58"/>
      <c r="R31" s="59"/>
      <c r="S31" s="59"/>
      <c r="T31" s="59"/>
      <c r="U31" s="57"/>
      <c r="V31" s="66"/>
      <c r="W31" s="60"/>
      <c r="X31" s="60"/>
      <c r="Y31" s="57"/>
    </row>
    <row r="32" spans="1:27" ht="15.75" customHeight="1" x14ac:dyDescent="0.35">
      <c r="A32" s="52">
        <v>45781</v>
      </c>
      <c r="B32" s="53"/>
      <c r="C32" s="54"/>
      <c r="D32" s="54"/>
      <c r="E32" s="54"/>
      <c r="F32" s="57"/>
      <c r="G32" s="62">
        <v>10</v>
      </c>
      <c r="H32" s="56">
        <v>0</v>
      </c>
      <c r="I32" s="63"/>
      <c r="J32" s="57"/>
      <c r="K32" s="57"/>
      <c r="L32" s="53"/>
      <c r="M32" s="54"/>
      <c r="N32" s="54"/>
      <c r="O32" s="54"/>
      <c r="P32" s="57"/>
      <c r="Q32" s="75">
        <v>12</v>
      </c>
      <c r="R32" s="59"/>
      <c r="S32" s="54">
        <v>1209</v>
      </c>
      <c r="T32" s="59"/>
      <c r="U32" s="57"/>
      <c r="V32" s="66"/>
      <c r="W32" s="60"/>
      <c r="X32" s="60"/>
      <c r="Y32" s="57"/>
    </row>
    <row r="33" spans="1:24" ht="15.75" customHeight="1" x14ac:dyDescent="0.35">
      <c r="A33" s="52">
        <v>45782</v>
      </c>
      <c r="B33" s="53">
        <v>10</v>
      </c>
      <c r="C33" s="54">
        <v>0</v>
      </c>
      <c r="D33" s="54"/>
      <c r="E33" s="54"/>
      <c r="F33" s="57"/>
      <c r="G33" s="53"/>
      <c r="H33" s="56"/>
      <c r="I33" s="54"/>
      <c r="J33" s="57"/>
      <c r="K33" s="57"/>
      <c r="L33" s="53"/>
      <c r="M33" s="54"/>
      <c r="Q33" s="75">
        <v>12</v>
      </c>
      <c r="S33" s="54">
        <v>301</v>
      </c>
      <c r="W33" s="60"/>
      <c r="X33" s="77"/>
    </row>
    <row r="34" spans="1:24" ht="15.75" customHeight="1" x14ac:dyDescent="0.35">
      <c r="A34" s="52">
        <v>45783</v>
      </c>
      <c r="B34" s="53"/>
      <c r="C34" s="54"/>
      <c r="D34" s="54"/>
      <c r="E34" s="54"/>
      <c r="F34" s="57"/>
      <c r="G34" s="53">
        <v>10</v>
      </c>
      <c r="H34" s="56">
        <v>0</v>
      </c>
      <c r="I34" s="54"/>
      <c r="J34" s="57"/>
      <c r="K34" s="57"/>
      <c r="L34" s="53"/>
      <c r="M34" s="54"/>
      <c r="Q34" s="75"/>
      <c r="S34" s="54"/>
      <c r="W34" s="60"/>
      <c r="X34" s="77">
        <v>580</v>
      </c>
    </row>
    <row r="35" spans="1:24" ht="15.75" customHeight="1" x14ac:dyDescent="0.35">
      <c r="A35" s="52">
        <v>45784</v>
      </c>
      <c r="B35" s="53"/>
      <c r="C35" s="54"/>
      <c r="D35" s="54"/>
      <c r="E35" s="54"/>
      <c r="F35" s="57"/>
      <c r="G35" s="53"/>
      <c r="H35" s="56"/>
      <c r="I35" s="54"/>
      <c r="J35" s="57"/>
      <c r="K35" s="57"/>
      <c r="L35" s="53">
        <v>12</v>
      </c>
      <c r="M35" s="54"/>
      <c r="N35" s="64">
        <v>230</v>
      </c>
      <c r="Q35" s="75">
        <v>8</v>
      </c>
      <c r="R35" s="54">
        <v>20</v>
      </c>
      <c r="S35" s="60"/>
      <c r="W35" s="60"/>
      <c r="X35" s="77"/>
    </row>
    <row r="36" spans="1:24" ht="15.75" customHeight="1" x14ac:dyDescent="0.35">
      <c r="A36" s="52">
        <v>45785</v>
      </c>
      <c r="B36" s="53"/>
      <c r="C36" s="54"/>
      <c r="D36" s="54"/>
      <c r="E36" s="54"/>
      <c r="F36" s="57"/>
      <c r="G36" s="53">
        <v>10</v>
      </c>
      <c r="H36" s="56">
        <v>0</v>
      </c>
      <c r="I36" s="54"/>
      <c r="J36" s="57"/>
      <c r="K36" s="57"/>
      <c r="L36" s="53"/>
      <c r="M36" s="64"/>
      <c r="Q36" s="75">
        <v>12</v>
      </c>
      <c r="S36" s="60">
        <v>212</v>
      </c>
      <c r="W36" s="60"/>
      <c r="X36" s="77"/>
    </row>
    <row r="37" spans="1:24" ht="15.75" customHeight="1" x14ac:dyDescent="0.35">
      <c r="A37" s="52">
        <v>45786</v>
      </c>
      <c r="B37" s="53"/>
      <c r="C37" s="54"/>
      <c r="D37" s="54"/>
      <c r="E37" s="54"/>
      <c r="F37" s="57"/>
      <c r="G37" s="53">
        <v>10</v>
      </c>
      <c r="H37" s="56"/>
      <c r="I37" s="54">
        <v>1074</v>
      </c>
      <c r="K37" s="57"/>
      <c r="L37" s="53">
        <v>11.5</v>
      </c>
      <c r="M37" s="54">
        <v>0</v>
      </c>
      <c r="Q37" s="75"/>
      <c r="S37" s="77"/>
      <c r="W37" s="16"/>
      <c r="X37" s="77">
        <v>1170</v>
      </c>
    </row>
    <row r="38" spans="1:24" ht="15.75" customHeight="1" x14ac:dyDescent="0.35">
      <c r="A38" s="52">
        <v>45787</v>
      </c>
      <c r="B38" s="53">
        <v>8</v>
      </c>
      <c r="C38" s="54"/>
      <c r="D38" s="54">
        <v>649</v>
      </c>
      <c r="E38" s="54"/>
      <c r="F38" s="57"/>
      <c r="G38" s="53">
        <v>10</v>
      </c>
      <c r="H38" s="56">
        <v>322</v>
      </c>
      <c r="I38" s="54"/>
      <c r="J38" s="57"/>
      <c r="K38" s="57"/>
      <c r="L38" s="53">
        <v>8</v>
      </c>
      <c r="M38" s="54"/>
      <c r="N38" s="64">
        <v>649</v>
      </c>
      <c r="Q38" s="75"/>
      <c r="S38" s="77"/>
      <c r="W38" s="16"/>
      <c r="X38" s="77"/>
    </row>
    <row r="39" spans="1:24" ht="15.75" customHeight="1" x14ac:dyDescent="0.35">
      <c r="A39" s="52">
        <v>45788</v>
      </c>
      <c r="B39" s="53"/>
      <c r="C39" s="54"/>
      <c r="D39" s="54"/>
      <c r="E39" s="54"/>
      <c r="F39" s="57"/>
      <c r="G39" s="53">
        <v>10</v>
      </c>
      <c r="H39" s="56">
        <v>0</v>
      </c>
      <c r="I39" s="54"/>
      <c r="J39" s="57"/>
      <c r="K39" s="57"/>
      <c r="L39" s="53">
        <v>7</v>
      </c>
      <c r="M39" s="54"/>
      <c r="N39" s="64">
        <v>450</v>
      </c>
      <c r="Q39" s="75"/>
      <c r="S39" s="77"/>
      <c r="W39" s="60"/>
      <c r="X39" s="77">
        <v>655</v>
      </c>
    </row>
    <row r="40" spans="1:24" ht="15.75" customHeight="1" x14ac:dyDescent="0.35">
      <c r="A40" s="52">
        <v>45789</v>
      </c>
      <c r="B40" s="53">
        <v>11</v>
      </c>
      <c r="C40" s="54">
        <v>420</v>
      </c>
      <c r="D40" s="54"/>
      <c r="E40" s="54"/>
      <c r="F40" s="57"/>
      <c r="G40" s="53"/>
      <c r="H40" s="56"/>
      <c r="I40" s="54"/>
      <c r="J40" s="57"/>
      <c r="K40" s="57"/>
      <c r="L40" s="53">
        <v>12</v>
      </c>
      <c r="M40" s="54"/>
      <c r="N40" s="54">
        <v>1690</v>
      </c>
      <c r="S40" s="77"/>
      <c r="W40" s="16"/>
      <c r="X40" s="77"/>
    </row>
    <row r="41" spans="1:24" ht="15.75" customHeight="1" x14ac:dyDescent="0.35">
      <c r="A41" s="52">
        <v>45790</v>
      </c>
      <c r="B41" s="53"/>
      <c r="C41" s="54"/>
      <c r="D41" s="54"/>
      <c r="E41" s="54"/>
      <c r="F41" s="57"/>
      <c r="G41" s="53">
        <v>10</v>
      </c>
      <c r="H41" s="56">
        <v>0</v>
      </c>
      <c r="I41" s="54"/>
      <c r="J41" s="57"/>
      <c r="K41" s="57"/>
      <c r="L41" s="53"/>
      <c r="M41" s="54"/>
      <c r="Q41" s="75"/>
      <c r="S41" s="77"/>
      <c r="W41" s="16"/>
      <c r="X41" s="77">
        <v>420</v>
      </c>
    </row>
    <row r="42" spans="1:24" ht="15.75" customHeight="1" x14ac:dyDescent="0.35">
      <c r="A42" s="52">
        <v>45791</v>
      </c>
      <c r="B42" s="53"/>
      <c r="C42" s="54"/>
      <c r="D42" s="54"/>
      <c r="E42" s="54"/>
      <c r="F42" s="57"/>
      <c r="G42" s="53"/>
      <c r="H42" s="56"/>
      <c r="I42" s="54"/>
      <c r="J42" s="54"/>
      <c r="K42" s="57"/>
      <c r="L42" s="53"/>
      <c r="M42" s="54"/>
      <c r="Q42" s="75">
        <v>12</v>
      </c>
      <c r="S42" s="60">
        <v>10</v>
      </c>
      <c r="V42" s="75"/>
      <c r="W42" s="16"/>
      <c r="X42" s="77"/>
    </row>
    <row r="43" spans="1:24" ht="15.75" customHeight="1" x14ac:dyDescent="0.35">
      <c r="A43" s="52">
        <v>45792</v>
      </c>
      <c r="B43" s="53">
        <v>12</v>
      </c>
      <c r="C43" s="54"/>
      <c r="D43" s="54">
        <v>1990</v>
      </c>
      <c r="E43" s="54"/>
      <c r="F43" s="57"/>
      <c r="G43" s="53">
        <v>10.5</v>
      </c>
      <c r="H43" s="56">
        <v>0</v>
      </c>
      <c r="I43" s="54"/>
      <c r="J43" s="57"/>
      <c r="K43" s="57"/>
      <c r="L43" s="53"/>
      <c r="M43" s="54"/>
      <c r="V43" s="75"/>
      <c r="W43" s="16"/>
      <c r="X43" s="77"/>
    </row>
    <row r="44" spans="1:24" ht="15.75" customHeight="1" x14ac:dyDescent="0.35">
      <c r="A44" s="52">
        <v>45793</v>
      </c>
      <c r="B44" s="53">
        <v>11</v>
      </c>
      <c r="C44" s="54">
        <v>1306</v>
      </c>
      <c r="D44" s="54"/>
      <c r="E44" s="54">
        <v>130</v>
      </c>
      <c r="F44" s="57"/>
      <c r="G44" s="53">
        <v>10</v>
      </c>
      <c r="H44" s="56"/>
      <c r="I44" s="54">
        <v>1072.5</v>
      </c>
      <c r="J44" s="57"/>
      <c r="K44" s="57"/>
      <c r="L44" s="53"/>
      <c r="M44" s="54"/>
      <c r="V44" s="75"/>
      <c r="W44" s="16"/>
      <c r="X44" s="77">
        <v>620</v>
      </c>
    </row>
    <row r="45" spans="1:24" ht="15.75" customHeight="1" x14ac:dyDescent="0.35">
      <c r="A45" s="52">
        <v>45794</v>
      </c>
      <c r="B45" s="53">
        <v>8</v>
      </c>
      <c r="C45" s="54"/>
      <c r="D45" s="54">
        <v>544.5</v>
      </c>
      <c r="E45" s="54"/>
      <c r="F45" s="57"/>
      <c r="G45" s="65">
        <v>10</v>
      </c>
      <c r="H45" s="56">
        <v>0</v>
      </c>
      <c r="I45" s="54"/>
      <c r="J45" s="57"/>
      <c r="K45" s="57"/>
      <c r="L45" s="53">
        <v>8</v>
      </c>
      <c r="M45" s="54"/>
      <c r="N45" s="54">
        <v>544.5</v>
      </c>
      <c r="V45" s="75"/>
      <c r="W45" s="16"/>
      <c r="X45" s="77"/>
    </row>
    <row r="46" spans="1:24" ht="15.75" customHeight="1" x14ac:dyDescent="0.35">
      <c r="A46" s="52">
        <v>45795</v>
      </c>
      <c r="B46" s="53"/>
      <c r="C46" s="54"/>
      <c r="D46" s="54"/>
      <c r="E46" s="54"/>
      <c r="F46" s="57"/>
      <c r="G46" s="65"/>
      <c r="H46" s="56"/>
      <c r="I46" s="54"/>
      <c r="J46" s="57"/>
      <c r="K46" s="57"/>
      <c r="L46" s="53">
        <v>10.5</v>
      </c>
      <c r="M46" s="54">
        <v>200</v>
      </c>
      <c r="Q46" s="75">
        <v>12</v>
      </c>
      <c r="S46" s="60">
        <v>424</v>
      </c>
      <c r="V46" s="75"/>
      <c r="W46" s="16"/>
      <c r="X46" s="77"/>
    </row>
    <row r="47" spans="1:24" ht="15.75" customHeight="1" x14ac:dyDescent="0.35">
      <c r="A47" s="52">
        <v>45796</v>
      </c>
      <c r="B47" s="53">
        <v>8</v>
      </c>
      <c r="C47" s="54">
        <v>180</v>
      </c>
      <c r="D47" s="54"/>
      <c r="E47" s="54"/>
      <c r="F47" s="57"/>
      <c r="G47" s="53"/>
      <c r="H47" s="56"/>
      <c r="I47" s="54"/>
      <c r="J47" s="54"/>
      <c r="K47" s="57"/>
      <c r="L47" s="65"/>
      <c r="M47" s="54"/>
      <c r="Q47" s="75">
        <v>12</v>
      </c>
      <c r="R47" s="54"/>
      <c r="S47" s="54">
        <v>600</v>
      </c>
      <c r="V47" s="75"/>
      <c r="W47" s="16"/>
      <c r="X47" s="77"/>
    </row>
    <row r="48" spans="1:24" ht="15.75" customHeight="1" x14ac:dyDescent="0.35">
      <c r="A48" s="52">
        <v>45797</v>
      </c>
      <c r="B48" s="53"/>
      <c r="C48" s="54"/>
      <c r="E48" s="54"/>
      <c r="F48" s="57"/>
      <c r="G48" s="53">
        <v>10</v>
      </c>
      <c r="H48" s="56">
        <v>0</v>
      </c>
      <c r="I48" s="54"/>
      <c r="J48" s="57"/>
      <c r="K48" s="57"/>
      <c r="L48" s="53"/>
      <c r="M48" s="54"/>
      <c r="N48" s="64"/>
      <c r="Q48" s="75">
        <v>12</v>
      </c>
      <c r="S48" s="54">
        <v>970</v>
      </c>
      <c r="V48" s="75"/>
      <c r="W48" s="16"/>
      <c r="X48" s="77">
        <v>150</v>
      </c>
    </row>
    <row r="49" spans="1:24" ht="15.75" customHeight="1" x14ac:dyDescent="0.35">
      <c r="A49" s="52">
        <v>45798</v>
      </c>
      <c r="B49" s="53">
        <v>12</v>
      </c>
      <c r="C49" s="54"/>
      <c r="D49" s="54">
        <v>1017</v>
      </c>
      <c r="E49" s="54"/>
      <c r="F49" s="57"/>
      <c r="G49" s="53">
        <v>10.5</v>
      </c>
      <c r="H49" s="56">
        <v>80</v>
      </c>
      <c r="I49" s="54"/>
      <c r="J49" s="57"/>
      <c r="K49" s="57"/>
      <c r="L49" s="53"/>
      <c r="M49" s="54"/>
      <c r="N49" s="54"/>
      <c r="V49" s="75"/>
      <c r="W49" s="16"/>
      <c r="X49" s="77"/>
    </row>
    <row r="50" spans="1:24" ht="15.75" customHeight="1" x14ac:dyDescent="0.35">
      <c r="A50" s="52">
        <v>45799</v>
      </c>
      <c r="B50" s="53">
        <v>12</v>
      </c>
      <c r="C50" s="54"/>
      <c r="D50" s="54">
        <v>885</v>
      </c>
      <c r="E50" s="54"/>
      <c r="F50" s="57"/>
      <c r="G50" s="53"/>
      <c r="H50" s="56"/>
      <c r="I50" s="54"/>
      <c r="J50" s="54">
        <v>400</v>
      </c>
      <c r="K50" s="57"/>
      <c r="L50" s="53">
        <v>11</v>
      </c>
      <c r="M50" s="54">
        <v>540</v>
      </c>
      <c r="N50" s="54"/>
      <c r="O50" s="54">
        <v>400</v>
      </c>
      <c r="V50" s="75"/>
      <c r="W50" s="16"/>
      <c r="X50" s="77"/>
    </row>
    <row r="51" spans="1:24" ht="15.75" customHeight="1" x14ac:dyDescent="0.35">
      <c r="A51" s="52">
        <v>45800</v>
      </c>
      <c r="B51" s="53">
        <v>11</v>
      </c>
      <c r="C51" s="54">
        <v>133</v>
      </c>
      <c r="D51" s="54"/>
      <c r="E51" s="54"/>
      <c r="F51" s="57"/>
      <c r="G51" s="65">
        <v>12</v>
      </c>
      <c r="H51" s="56"/>
      <c r="I51" s="54">
        <v>180</v>
      </c>
      <c r="J51" s="54"/>
      <c r="K51" s="57"/>
      <c r="L51" s="65"/>
      <c r="M51" s="54"/>
      <c r="V51" s="75"/>
      <c r="W51" s="16"/>
      <c r="X51" s="77"/>
    </row>
    <row r="52" spans="1:24" ht="15.75" customHeight="1" x14ac:dyDescent="0.35">
      <c r="A52" s="52">
        <v>45801</v>
      </c>
      <c r="B52" s="53">
        <v>12</v>
      </c>
      <c r="C52" s="54"/>
      <c r="D52" s="54">
        <v>1136</v>
      </c>
      <c r="E52" s="54"/>
      <c r="F52" s="57"/>
      <c r="G52" s="53">
        <v>10</v>
      </c>
      <c r="H52" s="56">
        <v>210</v>
      </c>
      <c r="I52" s="54"/>
      <c r="J52" s="57"/>
      <c r="K52" s="57"/>
      <c r="L52" s="53"/>
      <c r="M52" s="54"/>
      <c r="O52" s="16"/>
      <c r="V52" s="75"/>
      <c r="W52" s="16"/>
      <c r="X52" s="77"/>
    </row>
    <row r="53" spans="1:24" ht="15.75" customHeight="1" x14ac:dyDescent="0.35">
      <c r="A53" s="52">
        <v>45802</v>
      </c>
      <c r="B53" s="53"/>
      <c r="C53" s="54"/>
      <c r="D53" s="54"/>
      <c r="E53" s="54"/>
      <c r="F53" s="57"/>
      <c r="G53" s="65">
        <v>10</v>
      </c>
      <c r="H53" s="56">
        <v>260</v>
      </c>
      <c r="I53" s="54"/>
      <c r="J53" s="57"/>
      <c r="K53" s="57"/>
      <c r="L53" s="53"/>
      <c r="M53" s="54"/>
      <c r="Q53" s="75">
        <v>12</v>
      </c>
      <c r="S53" s="54">
        <v>120</v>
      </c>
      <c r="V53" s="75"/>
      <c r="W53" s="16"/>
      <c r="X53" s="77"/>
    </row>
    <row r="54" spans="1:24" ht="15.75" customHeight="1" x14ac:dyDescent="0.35">
      <c r="A54" s="52">
        <v>45803</v>
      </c>
      <c r="B54" s="53">
        <v>11</v>
      </c>
      <c r="C54" s="54">
        <v>182</v>
      </c>
      <c r="D54" s="54"/>
      <c r="E54" s="54"/>
      <c r="F54" s="57"/>
      <c r="G54" s="53"/>
      <c r="H54" s="56"/>
      <c r="I54" s="54"/>
      <c r="J54" s="57"/>
      <c r="K54" s="57"/>
      <c r="L54" s="53"/>
      <c r="M54" s="54"/>
      <c r="Q54" s="75">
        <v>12</v>
      </c>
      <c r="S54" s="54">
        <v>60</v>
      </c>
      <c r="V54" s="75"/>
      <c r="W54" s="16"/>
      <c r="X54" s="77"/>
    </row>
    <row r="55" spans="1:24" ht="15.75" customHeight="1" x14ac:dyDescent="0.35">
      <c r="A55" s="52">
        <v>45804</v>
      </c>
      <c r="B55" s="53"/>
      <c r="C55" s="54"/>
      <c r="D55" s="54"/>
      <c r="E55" s="54"/>
      <c r="F55" s="57"/>
      <c r="G55" s="53">
        <v>10</v>
      </c>
      <c r="H55" s="56">
        <v>117</v>
      </c>
      <c r="I55" s="54"/>
      <c r="J55" s="60"/>
      <c r="K55" s="57"/>
      <c r="L55" s="53"/>
      <c r="M55" s="54"/>
      <c r="Q55" s="75">
        <v>12</v>
      </c>
      <c r="S55" s="54">
        <v>1238</v>
      </c>
      <c r="V55" s="75"/>
      <c r="W55" s="16"/>
      <c r="X55" s="77"/>
    </row>
    <row r="56" spans="1:24" ht="15.75" customHeight="1" x14ac:dyDescent="0.35">
      <c r="A56" s="52">
        <v>45805</v>
      </c>
      <c r="B56" s="53"/>
      <c r="C56" s="54">
        <v>8</v>
      </c>
      <c r="D56" s="54"/>
      <c r="E56" s="54"/>
      <c r="F56" s="57"/>
      <c r="G56" s="53">
        <v>10</v>
      </c>
      <c r="H56" s="56">
        <v>95</v>
      </c>
      <c r="I56" s="54"/>
      <c r="J56" s="57"/>
      <c r="K56" s="57"/>
      <c r="L56" s="53"/>
      <c r="M56" s="54"/>
      <c r="Q56" s="75">
        <v>8</v>
      </c>
      <c r="S56" s="54">
        <v>238</v>
      </c>
      <c r="V56" s="75"/>
      <c r="W56" s="16"/>
      <c r="X56" s="77">
        <v>190</v>
      </c>
    </row>
    <row r="57" spans="1:24" ht="15.75" customHeight="1" x14ac:dyDescent="0.35">
      <c r="A57" s="52">
        <v>45806</v>
      </c>
      <c r="B57" s="53">
        <v>12</v>
      </c>
      <c r="C57" s="54"/>
      <c r="D57" s="54">
        <v>232.4</v>
      </c>
      <c r="E57" s="54"/>
      <c r="F57" s="57"/>
      <c r="G57" s="53">
        <v>10</v>
      </c>
      <c r="H57" s="56">
        <v>443</v>
      </c>
      <c r="I57" s="54"/>
      <c r="J57" s="57"/>
      <c r="K57" s="57"/>
      <c r="L57" s="66"/>
      <c r="M57" s="54"/>
      <c r="N57" s="54"/>
      <c r="Q57" s="75"/>
      <c r="S57" s="54"/>
      <c r="V57" s="75"/>
      <c r="W57" s="16"/>
      <c r="X57" s="77"/>
    </row>
    <row r="58" spans="1:24" ht="15.75" customHeight="1" x14ac:dyDescent="0.35">
      <c r="A58" s="52">
        <v>45807</v>
      </c>
      <c r="B58" s="53">
        <v>10</v>
      </c>
      <c r="C58" s="54">
        <v>812</v>
      </c>
      <c r="D58" s="54"/>
      <c r="E58" s="54"/>
      <c r="F58" s="57"/>
      <c r="G58" s="53">
        <v>9.5</v>
      </c>
      <c r="H58" s="56"/>
      <c r="I58" s="54">
        <v>564</v>
      </c>
      <c r="J58" s="57"/>
      <c r="K58" s="57"/>
      <c r="L58" s="66"/>
      <c r="M58" s="54"/>
      <c r="Q58" s="75"/>
      <c r="S58" s="54"/>
      <c r="V58" s="75"/>
      <c r="W58" s="16"/>
      <c r="X58" s="77">
        <v>350</v>
      </c>
    </row>
    <row r="59" spans="1:24" ht="15.75" customHeight="1" x14ac:dyDescent="0.35">
      <c r="A59" s="52">
        <v>45808</v>
      </c>
      <c r="B59" s="53">
        <v>8</v>
      </c>
      <c r="C59" s="54"/>
      <c r="D59" s="54">
        <v>1195</v>
      </c>
      <c r="E59" s="54"/>
      <c r="F59" s="57"/>
      <c r="G59" s="53">
        <v>9.5</v>
      </c>
      <c r="H59" s="56">
        <v>0</v>
      </c>
      <c r="I59" s="54"/>
      <c r="J59" s="57"/>
      <c r="K59" s="57"/>
      <c r="L59" s="66">
        <v>8</v>
      </c>
      <c r="M59" s="54"/>
      <c r="N59" s="54">
        <v>1195</v>
      </c>
      <c r="Q59" s="75"/>
      <c r="S59" s="54"/>
      <c r="V59" s="75"/>
      <c r="W59" s="16"/>
      <c r="X59" s="77"/>
    </row>
    <row r="60" spans="1:24" x14ac:dyDescent="0.35">
      <c r="V60" s="76"/>
      <c r="W60" s="16"/>
      <c r="X60" s="77"/>
    </row>
    <row r="61" spans="1:24" x14ac:dyDescent="0.35">
      <c r="V61" s="76"/>
      <c r="W61" s="16"/>
      <c r="X61" s="7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7316-00C7-4CB7-B9BD-95152CB71BD6}">
  <dimension ref="A1:AD59"/>
  <sheetViews>
    <sheetView zoomScale="76" zoomScaleNormal="76" workbookViewId="0">
      <selection sqref="A1:XFD1048576"/>
    </sheetView>
  </sheetViews>
  <sheetFormatPr defaultColWidth="12.6328125" defaultRowHeight="14.5" x14ac:dyDescent="0.35"/>
  <cols>
    <col min="1" max="1" width="26" customWidth="1"/>
    <col min="2" max="2" width="13" customWidth="1"/>
    <col min="3" max="3" width="9.81640625" customWidth="1"/>
    <col min="4" max="4" width="10.1796875" customWidth="1"/>
    <col min="5" max="5" width="9.6328125" customWidth="1"/>
    <col min="6" max="6" width="2.1796875" customWidth="1"/>
    <col min="7" max="7" width="10.3632812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63281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9" width="10.1796875" customWidth="1"/>
    <col min="20" max="20" width="8.1796875" customWidth="1"/>
    <col min="21" max="21" width="2.453125" customWidth="1"/>
    <col min="22" max="22" width="11.26953125" style="7" customWidth="1"/>
    <col min="23" max="23" width="9.54296875" style="7" customWidth="1"/>
    <col min="24" max="24" width="8.36328125" style="7" customWidth="1"/>
    <col min="25" max="25" width="2.453125" style="7" customWidth="1"/>
    <col min="26" max="26" width="11.26953125" style="7" customWidth="1"/>
    <col min="27" max="27" width="9.54296875" style="7" customWidth="1"/>
    <col min="28" max="28" width="8.36328125" style="7" customWidth="1"/>
    <col min="29" max="29" width="2.7265625" customWidth="1"/>
    <col min="30" max="30" width="10.08984375" customWidth="1"/>
  </cols>
  <sheetData>
    <row r="1" spans="1:28" ht="15.75" customHeight="1" x14ac:dyDescent="0.35">
      <c r="A1" s="1" t="s">
        <v>45</v>
      </c>
      <c r="C1" s="2"/>
      <c r="D1" s="2"/>
      <c r="E1" s="3" t="s">
        <v>0</v>
      </c>
      <c r="L1" s="5"/>
      <c r="M1" s="6"/>
      <c r="N1" s="6"/>
      <c r="Q1" s="5"/>
      <c r="R1" s="6"/>
      <c r="S1" s="6"/>
    </row>
    <row r="2" spans="1:28" ht="15.75" customHeight="1" x14ac:dyDescent="0.35">
      <c r="A2" s="8"/>
      <c r="B2" s="9"/>
      <c r="C2" s="2"/>
      <c r="D2" s="2"/>
      <c r="L2" s="5"/>
      <c r="M2" s="6"/>
      <c r="N2" s="6"/>
      <c r="Q2" s="5"/>
      <c r="R2" s="6"/>
      <c r="S2" s="6"/>
    </row>
    <row r="3" spans="1:28" ht="15.75" customHeight="1" x14ac:dyDescent="0.35">
      <c r="A3" s="8"/>
      <c r="B3" s="10"/>
      <c r="C3" s="2"/>
      <c r="D3" s="2"/>
      <c r="L3" s="5"/>
      <c r="M3" s="6"/>
      <c r="N3" s="6"/>
      <c r="Q3" s="5"/>
      <c r="R3" s="6"/>
      <c r="S3" s="6"/>
    </row>
    <row r="4" spans="1:28" ht="15.75" customHeight="1" x14ac:dyDescent="0.35">
      <c r="A4" s="3" t="s">
        <v>1</v>
      </c>
      <c r="B4" s="11">
        <f>B13+G13+L13+V13+Z13</f>
        <v>528.5</v>
      </c>
      <c r="C4" s="2"/>
      <c r="D4" s="2"/>
      <c r="L4" s="5"/>
      <c r="M4" s="6"/>
      <c r="N4" s="6"/>
      <c r="Q4" s="5"/>
      <c r="R4" s="6"/>
      <c r="S4" s="6"/>
    </row>
    <row r="5" spans="1:28" ht="15.75" customHeight="1" x14ac:dyDescent="0.35">
      <c r="A5" s="3" t="s">
        <v>40</v>
      </c>
      <c r="B5" s="12">
        <f>B14+G14+L14+Q14+V14+Z14</f>
        <v>5881.2</v>
      </c>
      <c r="C5" s="2"/>
      <c r="D5" s="2"/>
      <c r="L5" s="5"/>
      <c r="M5" s="6"/>
      <c r="N5" s="6"/>
      <c r="Q5" s="5"/>
      <c r="R5" s="6"/>
      <c r="S5" s="6"/>
    </row>
    <row r="6" spans="1:28" ht="15.75" customHeight="1" x14ac:dyDescent="0.35">
      <c r="A6" s="3" t="s">
        <v>41</v>
      </c>
      <c r="B6" s="13">
        <f>B15+G15+L15+Q15</f>
        <v>14795.8</v>
      </c>
      <c r="C6" s="2"/>
      <c r="D6" s="2"/>
      <c r="L6" s="5"/>
      <c r="M6" s="6"/>
      <c r="N6" s="6"/>
      <c r="Q6" s="5"/>
      <c r="R6" s="6"/>
      <c r="S6" s="6"/>
    </row>
    <row r="7" spans="1:28" ht="15.75" customHeight="1" x14ac:dyDescent="0.35">
      <c r="A7" s="3" t="s">
        <v>4</v>
      </c>
      <c r="B7" s="14">
        <f>B5+B6+C7</f>
        <v>21637</v>
      </c>
      <c r="C7" s="15">
        <f>C16+H16+M16+W17+AB16</f>
        <v>960</v>
      </c>
      <c r="D7" s="15"/>
      <c r="E7" s="16"/>
      <c r="L7" s="5"/>
      <c r="M7" s="6"/>
      <c r="N7" s="6"/>
      <c r="Q7" s="5"/>
      <c r="R7" s="6"/>
      <c r="S7" s="6"/>
    </row>
    <row r="8" spans="1:28" ht="15.75" customHeight="1" x14ac:dyDescent="0.35">
      <c r="A8" s="3" t="s">
        <v>5</v>
      </c>
      <c r="B8" s="14">
        <f>B21+G21+L21+V21</f>
        <v>7559.92</v>
      </c>
      <c r="C8" s="2"/>
      <c r="D8" s="2"/>
      <c r="L8" s="5"/>
      <c r="M8" s="6"/>
      <c r="N8" s="6"/>
      <c r="Q8" s="5"/>
      <c r="R8" s="6"/>
      <c r="S8" s="6"/>
    </row>
    <row r="9" spans="1:28" ht="15.75" customHeight="1" x14ac:dyDescent="0.35">
      <c r="A9" s="3"/>
      <c r="B9" s="17"/>
      <c r="L9" s="5"/>
      <c r="M9" s="6"/>
      <c r="N9" s="6"/>
      <c r="Q9" s="5"/>
      <c r="R9" s="6"/>
      <c r="S9" s="6"/>
    </row>
    <row r="10" spans="1:28" ht="15.75" customHeight="1" x14ac:dyDescent="0.35">
      <c r="A10" s="3" t="s">
        <v>6</v>
      </c>
      <c r="B10" s="14">
        <f>B8+B22+L25</f>
        <v>7759.92</v>
      </c>
      <c r="C10" s="2"/>
      <c r="D10" s="2"/>
      <c r="L10" s="5"/>
      <c r="M10" s="6"/>
      <c r="N10" s="6"/>
      <c r="Q10" s="5"/>
      <c r="R10" s="6"/>
      <c r="S10" s="6"/>
    </row>
    <row r="11" spans="1:28" ht="15.75" customHeight="1" x14ac:dyDescent="0.35">
      <c r="B11" s="18"/>
      <c r="C11" s="2"/>
      <c r="D11" s="2"/>
      <c r="G11" s="18"/>
      <c r="L11" s="5"/>
      <c r="M11" s="6"/>
      <c r="N11" s="6"/>
      <c r="Q11" s="5"/>
      <c r="R11" s="6"/>
      <c r="S11" s="6"/>
      <c r="V11" s="19"/>
      <c r="Z11" s="19"/>
    </row>
    <row r="12" spans="1:28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11</v>
      </c>
      <c r="R12" s="6"/>
      <c r="S12" s="6"/>
      <c r="V12" s="18" t="s">
        <v>33</v>
      </c>
      <c r="Z12" s="18" t="s">
        <v>43</v>
      </c>
    </row>
    <row r="13" spans="1:28" ht="15.75" customHeight="1" x14ac:dyDescent="0.35">
      <c r="A13" s="18" t="s">
        <v>12</v>
      </c>
      <c r="B13" s="22">
        <f>SUM(B29:B61)</f>
        <v>160</v>
      </c>
      <c r="C13" s="2"/>
      <c r="D13" s="2"/>
      <c r="G13" s="23">
        <f>SUM(G29:G59)</f>
        <v>208.5</v>
      </c>
      <c r="H13" s="20"/>
      <c r="I13" s="5"/>
      <c r="J13" s="5"/>
      <c r="L13" s="23">
        <f>SUM(L29:L61)</f>
        <v>68.5</v>
      </c>
      <c r="M13" s="6"/>
      <c r="N13" s="6"/>
      <c r="Q13" s="23">
        <f>SUM(Q29:Q61)</f>
        <v>0</v>
      </c>
      <c r="R13" s="6"/>
      <c r="S13" s="6"/>
      <c r="V13" s="23">
        <f>SUM(V27:V59)</f>
        <v>70.5</v>
      </c>
      <c r="W13" s="20"/>
      <c r="X13" s="5"/>
      <c r="Y13" s="5"/>
      <c r="Z13" s="23">
        <f>SUM(Z27:Z59)</f>
        <v>21</v>
      </c>
      <c r="AA13" s="20"/>
      <c r="AB13" s="5"/>
    </row>
    <row r="14" spans="1:28" ht="15.75" customHeight="1" x14ac:dyDescent="0.35">
      <c r="A14" s="3" t="s">
        <v>40</v>
      </c>
      <c r="B14" s="24">
        <f>SUM(C29:C59)</f>
        <v>1556</v>
      </c>
      <c r="C14" s="2"/>
      <c r="D14" s="2"/>
      <c r="G14" s="25">
        <f>SUM(H29:H59)</f>
        <v>284.2</v>
      </c>
      <c r="H14" s="20"/>
      <c r="I14" s="5"/>
      <c r="J14" s="5"/>
      <c r="L14" s="25">
        <f>SUM(M29:M59)</f>
        <v>210</v>
      </c>
      <c r="M14" s="6"/>
      <c r="N14" s="6"/>
      <c r="Q14" s="25">
        <f>SUM(R29:R59)</f>
        <v>1841</v>
      </c>
      <c r="R14" s="6"/>
      <c r="S14" s="6"/>
      <c r="V14" s="25">
        <f>SUM(W29:W59)</f>
        <v>1990</v>
      </c>
      <c r="W14" s="20"/>
      <c r="X14" s="5"/>
      <c r="Y14" s="5"/>
      <c r="Z14" s="25">
        <f>SUM(AA29:AA59)</f>
        <v>0</v>
      </c>
      <c r="AA14" s="20"/>
      <c r="AB14" s="5"/>
    </row>
    <row r="15" spans="1:28" ht="15.75" customHeight="1" x14ac:dyDescent="0.35">
      <c r="A15" s="18" t="s">
        <v>41</v>
      </c>
      <c r="B15" s="25">
        <f>SUM(D29:D59)</f>
        <v>4235</v>
      </c>
      <c r="C15" s="2"/>
      <c r="D15" s="2"/>
      <c r="G15" s="25">
        <f>SUM(I29:I59)</f>
        <v>6119</v>
      </c>
      <c r="H15" s="20"/>
      <c r="I15" s="5"/>
      <c r="J15" s="5"/>
      <c r="L15" s="25">
        <f>SUM(N29:N59)</f>
        <v>2290</v>
      </c>
      <c r="M15" s="6"/>
      <c r="N15" s="6"/>
      <c r="Q15" s="25">
        <f>SUM(S29:S59)</f>
        <v>2151.8000000000002</v>
      </c>
      <c r="R15" s="6"/>
      <c r="S15" s="6"/>
      <c r="V15" s="25"/>
      <c r="W15" s="20"/>
      <c r="X15" s="5"/>
      <c r="Y15" s="5"/>
      <c r="Z15" s="25"/>
      <c r="AA15" s="20"/>
      <c r="AB15" s="5"/>
    </row>
    <row r="16" spans="1:28" ht="15.75" customHeight="1" x14ac:dyDescent="0.35">
      <c r="A16" s="18" t="s">
        <v>13</v>
      </c>
      <c r="B16" s="25">
        <f>B14+B15</f>
        <v>5791</v>
      </c>
      <c r="C16" s="28">
        <f>SUM(E29:E60)</f>
        <v>410</v>
      </c>
      <c r="D16" s="26"/>
      <c r="E16" s="27"/>
      <c r="G16" s="25">
        <f>G14+G15+H16</f>
        <v>6403.2</v>
      </c>
      <c r="H16" s="28">
        <f>SUM(J29:J60)</f>
        <v>0</v>
      </c>
      <c r="I16" s="29"/>
      <c r="J16" s="30"/>
      <c r="L16" s="25">
        <f>L14+L15+M16</f>
        <v>3050</v>
      </c>
      <c r="M16" s="26">
        <f>SUM(O29:O59)</f>
        <v>550</v>
      </c>
      <c r="N16" s="31"/>
      <c r="O16" s="30"/>
      <c r="Q16" s="25">
        <f>Q14+Q15+R16</f>
        <v>3992.8</v>
      </c>
      <c r="R16" s="26">
        <f>SUM(T29:T59)</f>
        <v>0</v>
      </c>
      <c r="S16" s="31"/>
      <c r="T16" s="30"/>
      <c r="U16" s="30"/>
      <c r="V16" s="25">
        <f>V14+V15</f>
        <v>1990</v>
      </c>
      <c r="W16" s="26">
        <f>SUM(Y29:Y59)</f>
        <v>0</v>
      </c>
      <c r="X16" s="31"/>
      <c r="Y16" s="31"/>
      <c r="Z16" s="25">
        <f>Z14+Z15</f>
        <v>0</v>
      </c>
      <c r="AA16" s="26">
        <f>SUM(AC29:AC59)</f>
        <v>0</v>
      </c>
      <c r="AB16" s="31"/>
    </row>
    <row r="17" spans="1:30" ht="15.75" customHeight="1" x14ac:dyDescent="0.35">
      <c r="A17" s="5" t="s">
        <v>14</v>
      </c>
      <c r="B17" s="24">
        <v>12</v>
      </c>
      <c r="C17" s="2"/>
      <c r="D17" s="2"/>
      <c r="G17" s="25">
        <v>11</v>
      </c>
      <c r="H17" s="20"/>
      <c r="I17" s="5"/>
      <c r="J17" s="5"/>
      <c r="L17" s="25">
        <v>12</v>
      </c>
      <c r="M17" s="6"/>
      <c r="N17" s="6"/>
      <c r="Q17" s="25"/>
      <c r="R17" s="6"/>
      <c r="S17" s="6"/>
      <c r="V17" s="25">
        <v>10</v>
      </c>
      <c r="W17" s="20"/>
      <c r="X17" s="5"/>
      <c r="Y17" s="5"/>
      <c r="Z17" s="25">
        <v>10</v>
      </c>
      <c r="AA17" s="20"/>
      <c r="AB17" s="5"/>
    </row>
    <row r="18" spans="1:30" ht="15.75" customHeight="1" x14ac:dyDescent="0.35">
      <c r="A18" s="5" t="s">
        <v>15</v>
      </c>
      <c r="B18" s="32">
        <v>10</v>
      </c>
      <c r="C18" s="6">
        <v>10</v>
      </c>
      <c r="D18" s="6"/>
      <c r="G18" s="33">
        <v>10</v>
      </c>
      <c r="H18" s="20">
        <v>10</v>
      </c>
      <c r="I18" s="5"/>
      <c r="J18" s="5"/>
      <c r="L18" s="33">
        <v>10</v>
      </c>
      <c r="M18" s="6">
        <v>10</v>
      </c>
      <c r="N18" s="6"/>
      <c r="O18" s="5"/>
      <c r="Q18" s="33"/>
      <c r="R18" s="6"/>
      <c r="S18" s="6"/>
      <c r="T18" s="5"/>
      <c r="U18" s="5"/>
      <c r="V18" s="33">
        <v>10</v>
      </c>
      <c r="W18" s="20">
        <v>10</v>
      </c>
      <c r="X18" s="5"/>
      <c r="Y18" s="5"/>
      <c r="Z18" s="33">
        <v>10</v>
      </c>
      <c r="AA18" s="20">
        <v>10</v>
      </c>
      <c r="AB18" s="5"/>
    </row>
    <row r="19" spans="1:30" ht="15.75" customHeight="1" x14ac:dyDescent="0.35">
      <c r="A19" s="5" t="s">
        <v>16</v>
      </c>
      <c r="B19" s="24">
        <f>B17*B13</f>
        <v>1920</v>
      </c>
      <c r="D19" s="6"/>
      <c r="G19" s="25">
        <f>G17*G13</f>
        <v>2293.5</v>
      </c>
      <c r="H19" s="20"/>
      <c r="I19" s="5"/>
      <c r="J19" s="5"/>
      <c r="L19" s="25">
        <f>L17*L13</f>
        <v>822</v>
      </c>
      <c r="M19" s="6"/>
      <c r="N19" s="6"/>
      <c r="O19" s="5"/>
      <c r="Q19" s="25"/>
      <c r="R19" s="6"/>
      <c r="S19" s="6"/>
      <c r="T19" s="5"/>
      <c r="U19" s="5"/>
      <c r="V19" s="25">
        <f>V17*V13</f>
        <v>705</v>
      </c>
      <c r="W19" s="20"/>
      <c r="X19" s="5"/>
      <c r="Y19" s="5"/>
      <c r="Z19" s="25">
        <f>Z17*Z13</f>
        <v>210</v>
      </c>
      <c r="AA19" s="20"/>
      <c r="AB19" s="5"/>
    </row>
    <row r="20" spans="1:30" ht="15.75" customHeight="1" x14ac:dyDescent="0.35">
      <c r="A20" s="5" t="s">
        <v>17</v>
      </c>
      <c r="B20" s="25">
        <f>B16*(B18/100)+C20</f>
        <v>620.1</v>
      </c>
      <c r="C20" s="34">
        <f>C16*(C18/100)</f>
        <v>41</v>
      </c>
      <c r="D20" s="34"/>
      <c r="E20" s="31" t="s">
        <v>18</v>
      </c>
      <c r="G20" s="25">
        <f>G16*(G18/100)</f>
        <v>640.32000000000005</v>
      </c>
      <c r="H20" s="28">
        <f>H16*(H18/100)</f>
        <v>0</v>
      </c>
      <c r="I20" s="29"/>
      <c r="J20" s="31"/>
      <c r="L20" s="25">
        <f>L16*(L18/100)+M20</f>
        <v>360</v>
      </c>
      <c r="M20" s="28">
        <f>M16*(M18/100)</f>
        <v>55</v>
      </c>
      <c r="N20" s="6"/>
      <c r="O20" s="31"/>
      <c r="Q20" s="25"/>
      <c r="R20" s="28">
        <f>R16*(R18/100)</f>
        <v>0</v>
      </c>
      <c r="S20" s="6"/>
      <c r="T20" s="31"/>
      <c r="U20" s="31"/>
      <c r="V20" s="25">
        <f>V16*(V18/100)+W20</f>
        <v>199</v>
      </c>
      <c r="W20" s="28">
        <f t="shared" ref="W20" si="0">W16*(W18/100)</f>
        <v>0</v>
      </c>
      <c r="X20" s="31"/>
      <c r="Y20" s="31"/>
      <c r="Z20" s="25">
        <f>Z16*(Z18/100)+AA20</f>
        <v>0</v>
      </c>
      <c r="AA20" s="28">
        <f t="shared" ref="AA20" si="1">AA16*(AA18/100)</f>
        <v>0</v>
      </c>
      <c r="AB20" s="31"/>
    </row>
    <row r="21" spans="1:30" ht="15.75" customHeight="1" x14ac:dyDescent="0.35">
      <c r="A21" s="5" t="s">
        <v>19</v>
      </c>
      <c r="B21" s="24">
        <f>B19+B20</f>
        <v>2540.1</v>
      </c>
      <c r="C21" s="6"/>
      <c r="D21" s="6"/>
      <c r="G21" s="25">
        <f>G19+G20</f>
        <v>2933.82</v>
      </c>
      <c r="H21" s="20"/>
      <c r="I21" s="5"/>
      <c r="J21" s="5"/>
      <c r="L21" s="25">
        <f>L19+L20</f>
        <v>1182</v>
      </c>
      <c r="M21" s="6"/>
      <c r="N21" s="6"/>
      <c r="O21" s="5"/>
      <c r="Q21" s="25"/>
      <c r="R21" s="6"/>
      <c r="S21" s="6"/>
      <c r="T21" s="5"/>
      <c r="U21" s="5"/>
      <c r="V21" s="25">
        <f>V19+V20</f>
        <v>904</v>
      </c>
      <c r="W21" s="20"/>
      <c r="X21" s="5"/>
      <c r="Y21" s="5"/>
      <c r="Z21" s="25">
        <f>Z19+Z20</f>
        <v>210</v>
      </c>
      <c r="AA21" s="20"/>
      <c r="AB21" s="5"/>
    </row>
    <row r="22" spans="1:30" ht="15.75" customHeight="1" x14ac:dyDescent="0.35">
      <c r="A22" s="35" t="s">
        <v>20</v>
      </c>
      <c r="B22" s="36"/>
      <c r="C22" s="6"/>
      <c r="D22" s="6"/>
      <c r="G22" s="24"/>
      <c r="H22" s="20"/>
      <c r="I22" s="5"/>
      <c r="J22" s="5"/>
      <c r="L22" s="24"/>
      <c r="M22" s="6"/>
      <c r="N22" s="6"/>
      <c r="O22" s="5"/>
      <c r="Q22" s="24"/>
      <c r="R22" s="6"/>
      <c r="S22" s="6"/>
      <c r="T22" s="5"/>
      <c r="U22" s="5"/>
      <c r="V22" s="24"/>
      <c r="W22" s="20"/>
      <c r="X22" s="5"/>
      <c r="Y22" s="5"/>
      <c r="Z22" s="24"/>
      <c r="AA22" s="20"/>
      <c r="AB22" s="5"/>
    </row>
    <row r="23" spans="1:30" ht="15.75" customHeight="1" x14ac:dyDescent="0.35">
      <c r="A23" s="35" t="s">
        <v>21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6"/>
      <c r="S23" s="6"/>
      <c r="T23" s="5"/>
      <c r="U23" s="5"/>
      <c r="V23" s="24"/>
      <c r="W23" s="20"/>
      <c r="X23" s="5"/>
      <c r="Y23" s="5"/>
      <c r="Z23" s="24"/>
      <c r="AA23" s="20"/>
      <c r="AB23" s="5"/>
    </row>
    <row r="24" spans="1:30" ht="15.75" customHeight="1" x14ac:dyDescent="0.35">
      <c r="A24" s="35" t="s">
        <v>22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6"/>
      <c r="S24" s="6"/>
      <c r="T24" s="5"/>
      <c r="U24" s="5"/>
      <c r="V24" s="24"/>
      <c r="W24" s="20"/>
      <c r="X24" s="5"/>
      <c r="Y24" s="5"/>
      <c r="Z24" s="24"/>
      <c r="AA24" s="20"/>
      <c r="AB24" s="5"/>
    </row>
    <row r="25" spans="1:30" x14ac:dyDescent="0.35">
      <c r="A25" s="5" t="s">
        <v>23</v>
      </c>
      <c r="B25" s="24"/>
      <c r="C25" s="37"/>
      <c r="D25" s="37"/>
      <c r="G25" s="24"/>
      <c r="H25" s="38"/>
      <c r="I25" s="39"/>
      <c r="J25" s="5"/>
      <c r="L25" s="40">
        <v>200</v>
      </c>
      <c r="M25" s="37"/>
      <c r="N25" s="37"/>
      <c r="O25" s="5"/>
      <c r="Q25" s="40"/>
      <c r="R25" s="37"/>
      <c r="S25" s="37"/>
      <c r="T25" s="5"/>
      <c r="U25" s="5"/>
      <c r="V25" s="24"/>
      <c r="W25" s="38"/>
      <c r="X25" s="39"/>
      <c r="Y25" s="39"/>
      <c r="Z25" s="24"/>
      <c r="AA25" s="38"/>
      <c r="AB25" s="39"/>
    </row>
    <row r="26" spans="1:30" x14ac:dyDescent="0.35">
      <c r="A26" s="5" t="s">
        <v>24</v>
      </c>
      <c r="B26" s="41">
        <f>B21-B23+B25</f>
        <v>2540.1</v>
      </c>
      <c r="C26" s="6"/>
      <c r="D26" s="6"/>
      <c r="G26" s="42">
        <f>G21-G24+G25</f>
        <v>2933.82</v>
      </c>
      <c r="H26" s="20"/>
      <c r="I26" s="5"/>
      <c r="J26" s="5"/>
      <c r="L26" s="42">
        <f>L21+L25</f>
        <v>1382</v>
      </c>
      <c r="O26" s="5"/>
      <c r="Q26" s="42"/>
      <c r="T26" s="5"/>
      <c r="U26" s="5"/>
      <c r="V26" s="42">
        <f>V21-V24+V25</f>
        <v>904</v>
      </c>
      <c r="W26" s="20"/>
      <c r="X26" s="5"/>
      <c r="Y26" s="5"/>
      <c r="Z26" s="42">
        <f>Z21-Z24+Z25</f>
        <v>210</v>
      </c>
      <c r="AA26" s="20"/>
      <c r="AB26" s="5"/>
    </row>
    <row r="27" spans="1:30" ht="15.75" customHeight="1" x14ac:dyDescent="0.35">
      <c r="A27" s="5"/>
      <c r="B27" s="5"/>
      <c r="C27" s="6"/>
      <c r="D27" s="6"/>
      <c r="G27" s="5"/>
      <c r="H27" s="20"/>
      <c r="I27" s="5"/>
      <c r="J27" s="5"/>
      <c r="L27" s="5"/>
      <c r="M27" s="6"/>
      <c r="N27" s="6"/>
      <c r="O27" s="5"/>
      <c r="Q27" s="5"/>
      <c r="R27" s="6"/>
      <c r="S27" s="6"/>
      <c r="T27" s="5"/>
      <c r="U27" s="5"/>
      <c r="V27" s="44"/>
      <c r="W27" s="44"/>
      <c r="Z27" s="44"/>
      <c r="AA27" s="44"/>
    </row>
    <row r="28" spans="1:30" ht="36" customHeight="1" x14ac:dyDescent="0.35">
      <c r="A28" s="5" t="s">
        <v>25</v>
      </c>
      <c r="B28" s="87" t="s">
        <v>26</v>
      </c>
      <c r="C28" s="88" t="s">
        <v>27</v>
      </c>
      <c r="D28" s="89" t="s">
        <v>42</v>
      </c>
      <c r="E28" s="90" t="s">
        <v>29</v>
      </c>
      <c r="F28" s="48" t="s">
        <v>30</v>
      </c>
      <c r="G28" s="87" t="s">
        <v>26</v>
      </c>
      <c r="H28" s="88" t="s">
        <v>27</v>
      </c>
      <c r="I28" s="89" t="s">
        <v>42</v>
      </c>
      <c r="J28" s="90" t="s">
        <v>29</v>
      </c>
      <c r="L28" s="87" t="s">
        <v>26</v>
      </c>
      <c r="M28" s="91" t="s">
        <v>27</v>
      </c>
      <c r="N28" s="89" t="s">
        <v>42</v>
      </c>
      <c r="O28" s="90" t="s">
        <v>29</v>
      </c>
      <c r="Q28" s="87" t="s">
        <v>26</v>
      </c>
      <c r="R28" s="91" t="s">
        <v>27</v>
      </c>
      <c r="S28" s="89" t="s">
        <v>42</v>
      </c>
      <c r="T28" s="90" t="s">
        <v>29</v>
      </c>
      <c r="U28" s="86"/>
      <c r="V28" s="87" t="s">
        <v>26</v>
      </c>
      <c r="W28" s="91" t="s">
        <v>27</v>
      </c>
      <c r="X28" s="90" t="s">
        <v>29</v>
      </c>
      <c r="Y28" s="86"/>
      <c r="Z28" s="87" t="s">
        <v>26</v>
      </c>
      <c r="AA28" s="91" t="s">
        <v>27</v>
      </c>
      <c r="AB28" s="90" t="s">
        <v>29</v>
      </c>
      <c r="AD28" s="85"/>
    </row>
    <row r="29" spans="1:30" ht="15.75" customHeight="1" x14ac:dyDescent="0.35">
      <c r="A29" s="52">
        <v>45809</v>
      </c>
      <c r="B29" s="53"/>
      <c r="C29" s="54"/>
      <c r="D29" s="54"/>
      <c r="E29" s="54"/>
      <c r="F29" s="54"/>
      <c r="G29" s="55">
        <v>10</v>
      </c>
      <c r="H29" s="56">
        <v>186.2</v>
      </c>
      <c r="I29" s="54"/>
      <c r="J29" s="57"/>
      <c r="K29" s="57"/>
      <c r="L29" s="53">
        <v>12</v>
      </c>
      <c r="M29" s="54"/>
      <c r="N29" s="54"/>
      <c r="O29" s="82">
        <v>330</v>
      </c>
      <c r="P29" s="57"/>
      <c r="Q29" s="53"/>
      <c r="R29" s="54"/>
      <c r="S29" s="54"/>
      <c r="T29" s="54"/>
      <c r="U29" s="54"/>
      <c r="V29" s="58"/>
      <c r="W29" s="59"/>
      <c r="X29" s="59"/>
      <c r="Y29" s="59"/>
      <c r="Z29" s="58"/>
      <c r="AA29" s="59"/>
      <c r="AB29" s="59"/>
    </row>
    <row r="30" spans="1:30" ht="15.75" customHeight="1" x14ac:dyDescent="0.35">
      <c r="A30" s="52">
        <v>45810</v>
      </c>
      <c r="B30" s="53">
        <v>10</v>
      </c>
      <c r="C30" s="54">
        <v>156</v>
      </c>
      <c r="D30" s="54"/>
      <c r="E30" s="54"/>
      <c r="F30" s="54"/>
      <c r="G30" s="53"/>
      <c r="I30" s="54"/>
      <c r="J30" s="57"/>
      <c r="K30" s="57"/>
      <c r="L30" s="53"/>
      <c r="M30" s="54"/>
      <c r="N30" s="54"/>
      <c r="O30" s="54"/>
      <c r="P30" s="57"/>
      <c r="Q30" s="53"/>
      <c r="R30" s="54"/>
      <c r="S30" s="54"/>
      <c r="T30" s="54"/>
      <c r="U30" s="54"/>
      <c r="V30" s="58"/>
      <c r="W30" s="59"/>
      <c r="X30" s="59"/>
      <c r="Y30" s="59"/>
      <c r="Z30" s="58"/>
      <c r="AA30" s="59"/>
      <c r="AB30" s="59"/>
      <c r="AD30" s="78"/>
    </row>
    <row r="31" spans="1:30" ht="15.75" customHeight="1" x14ac:dyDescent="0.35">
      <c r="A31" s="52">
        <v>45811</v>
      </c>
      <c r="B31" s="53"/>
      <c r="C31" s="54"/>
      <c r="D31" s="54"/>
      <c r="E31" s="54"/>
      <c r="F31" s="57"/>
      <c r="G31" s="53">
        <v>10</v>
      </c>
      <c r="H31" s="61">
        <v>0</v>
      </c>
      <c r="I31" s="54"/>
      <c r="J31" s="57"/>
      <c r="K31" s="57"/>
      <c r="L31" s="53"/>
      <c r="M31" s="54"/>
      <c r="N31" s="54"/>
      <c r="O31" s="54"/>
      <c r="P31" s="57"/>
      <c r="Q31" s="53"/>
      <c r="R31" s="54"/>
      <c r="S31" s="54"/>
      <c r="T31" s="54"/>
      <c r="U31" s="54"/>
      <c r="V31" s="58"/>
      <c r="W31" s="59"/>
      <c r="X31" s="59"/>
      <c r="Y31" s="59"/>
      <c r="Z31" s="58"/>
      <c r="AA31" s="59"/>
      <c r="AB31" s="59"/>
    </row>
    <row r="32" spans="1:30" ht="15.75" customHeight="1" x14ac:dyDescent="0.35">
      <c r="A32" s="52">
        <v>45812</v>
      </c>
      <c r="B32" s="53"/>
      <c r="C32" s="54"/>
      <c r="D32" s="54"/>
      <c r="E32" s="54"/>
      <c r="F32" s="57"/>
      <c r="G32" s="62"/>
      <c r="H32" s="56"/>
      <c r="I32" s="63"/>
      <c r="J32" s="57"/>
      <c r="K32" s="57"/>
      <c r="L32" s="53">
        <v>10.5</v>
      </c>
      <c r="M32" s="54">
        <v>0</v>
      </c>
      <c r="N32" s="54"/>
      <c r="O32" s="54"/>
      <c r="P32" s="57"/>
      <c r="Q32" s="53"/>
      <c r="R32" s="54"/>
      <c r="S32" s="54"/>
      <c r="T32" s="54"/>
      <c r="U32" s="54"/>
      <c r="V32" s="75"/>
      <c r="W32" s="59"/>
      <c r="X32" s="59"/>
      <c r="Y32" s="59"/>
      <c r="Z32" s="75"/>
      <c r="AA32" s="59"/>
      <c r="AB32" s="59"/>
    </row>
    <row r="33" spans="1:27" ht="15.65" customHeight="1" x14ac:dyDescent="0.35">
      <c r="A33" s="52">
        <v>45813</v>
      </c>
      <c r="B33" s="53"/>
      <c r="C33" s="54"/>
      <c r="D33" s="54"/>
      <c r="E33" s="54"/>
      <c r="F33" s="57"/>
      <c r="G33" s="53">
        <v>11</v>
      </c>
      <c r="H33" s="56"/>
      <c r="I33" s="54">
        <v>0</v>
      </c>
      <c r="J33" s="57"/>
      <c r="K33" s="57"/>
      <c r="L33" s="53"/>
      <c r="M33" s="54"/>
      <c r="Q33" s="53"/>
      <c r="R33" s="54">
        <v>150</v>
      </c>
      <c r="V33" s="75"/>
      <c r="Z33" s="75"/>
    </row>
    <row r="34" spans="1:27" ht="15.75" customHeight="1" x14ac:dyDescent="0.35">
      <c r="A34" s="52">
        <v>45814</v>
      </c>
      <c r="B34" s="53"/>
      <c r="C34" s="54"/>
      <c r="D34" s="54"/>
      <c r="E34" s="54"/>
      <c r="F34" s="57"/>
      <c r="G34" s="53">
        <v>12</v>
      </c>
      <c r="H34" s="56"/>
      <c r="I34" s="54">
        <v>328</v>
      </c>
      <c r="J34" s="57"/>
      <c r="K34" s="57"/>
      <c r="L34" s="53"/>
      <c r="M34" s="54"/>
      <c r="Q34" s="53"/>
      <c r="R34" s="54">
        <v>0</v>
      </c>
      <c r="V34" s="75"/>
      <c r="Z34" s="75"/>
    </row>
    <row r="35" spans="1:27" ht="15.75" customHeight="1" x14ac:dyDescent="0.35">
      <c r="A35" s="52">
        <v>45815</v>
      </c>
      <c r="B35" s="53">
        <v>11</v>
      </c>
      <c r="C35" s="54">
        <v>0</v>
      </c>
      <c r="D35" s="54"/>
      <c r="E35" s="54"/>
      <c r="F35" s="57"/>
      <c r="G35" s="53"/>
      <c r="H35" s="56"/>
      <c r="I35" s="54"/>
      <c r="J35" s="57"/>
      <c r="K35" s="57"/>
      <c r="L35" s="53">
        <v>12</v>
      </c>
      <c r="M35" s="54"/>
      <c r="N35" s="64">
        <v>592</v>
      </c>
      <c r="Q35" s="53"/>
      <c r="R35" s="54"/>
      <c r="S35" s="64"/>
      <c r="V35" s="75"/>
      <c r="W35" s="54"/>
      <c r="Z35" s="75"/>
      <c r="AA35" s="54"/>
    </row>
    <row r="36" spans="1:27" ht="15.65" customHeight="1" x14ac:dyDescent="0.35">
      <c r="A36" s="52">
        <v>45816</v>
      </c>
      <c r="B36" s="53"/>
      <c r="C36" s="54"/>
      <c r="D36" s="54"/>
      <c r="E36" s="54"/>
      <c r="F36" s="57"/>
      <c r="G36" s="53">
        <v>12</v>
      </c>
      <c r="H36" s="56"/>
      <c r="I36" s="54">
        <v>182</v>
      </c>
      <c r="J36" s="57"/>
      <c r="K36" s="57"/>
      <c r="L36" s="53"/>
      <c r="M36" s="64"/>
      <c r="Q36" s="53"/>
      <c r="R36" s="64">
        <v>168</v>
      </c>
      <c r="V36" s="75"/>
      <c r="Z36" s="75"/>
    </row>
    <row r="37" spans="1:27" ht="15.75" customHeight="1" x14ac:dyDescent="0.35">
      <c r="A37" s="52">
        <v>45817</v>
      </c>
      <c r="B37" s="53">
        <v>11</v>
      </c>
      <c r="C37" s="54">
        <v>0</v>
      </c>
      <c r="D37" s="54"/>
      <c r="E37" s="54"/>
      <c r="F37" s="57"/>
      <c r="G37" s="53">
        <v>11.5</v>
      </c>
      <c r="H37" s="56"/>
      <c r="I37" s="54">
        <v>0</v>
      </c>
      <c r="K37" s="57"/>
      <c r="L37" s="53"/>
      <c r="M37" s="54"/>
      <c r="Q37" s="53"/>
      <c r="R37" s="54"/>
      <c r="V37" s="75"/>
      <c r="Z37" s="75"/>
    </row>
    <row r="38" spans="1:27" ht="15.65" customHeight="1" x14ac:dyDescent="0.35">
      <c r="A38" s="52">
        <v>45818</v>
      </c>
      <c r="B38" s="53">
        <v>12</v>
      </c>
      <c r="C38" s="54"/>
      <c r="D38" s="54">
        <v>0</v>
      </c>
      <c r="E38" s="54"/>
      <c r="F38" s="57"/>
      <c r="G38" s="53">
        <v>10</v>
      </c>
      <c r="H38" s="56">
        <v>0</v>
      </c>
      <c r="I38" s="54"/>
      <c r="J38" s="57"/>
      <c r="K38" s="57"/>
      <c r="L38" s="53"/>
      <c r="M38" s="54"/>
      <c r="N38" s="64"/>
      <c r="Q38" s="53"/>
      <c r="R38" s="54"/>
      <c r="S38" s="64"/>
      <c r="V38" s="75"/>
      <c r="Z38" s="75"/>
    </row>
    <row r="39" spans="1:27" ht="15.75" customHeight="1" x14ac:dyDescent="0.35">
      <c r="A39" s="52">
        <v>45819</v>
      </c>
      <c r="B39" s="53">
        <v>12</v>
      </c>
      <c r="C39" s="54"/>
      <c r="D39" s="54">
        <v>476</v>
      </c>
      <c r="E39" s="54"/>
      <c r="F39" s="57"/>
      <c r="G39" s="53"/>
      <c r="H39" s="56"/>
      <c r="I39" s="54"/>
      <c r="J39" s="57"/>
      <c r="K39" s="57"/>
      <c r="L39" s="53"/>
      <c r="M39" s="54"/>
      <c r="N39" s="64"/>
      <c r="Q39" s="53"/>
      <c r="R39" s="54">
        <v>0</v>
      </c>
      <c r="S39" s="64"/>
      <c r="V39" s="75"/>
      <c r="Z39" s="75"/>
    </row>
    <row r="40" spans="1:27" ht="15.75" customHeight="1" x14ac:dyDescent="0.35">
      <c r="A40" s="52">
        <v>45820</v>
      </c>
      <c r="B40" s="53"/>
      <c r="C40" s="54"/>
      <c r="D40" s="54"/>
      <c r="E40" s="54"/>
      <c r="F40" s="57"/>
      <c r="G40" s="53">
        <v>11.5</v>
      </c>
      <c r="H40" s="56"/>
      <c r="I40" s="54">
        <v>0</v>
      </c>
      <c r="J40" s="57"/>
      <c r="K40" s="57"/>
      <c r="L40" s="53"/>
      <c r="M40" s="54"/>
      <c r="N40" s="54"/>
      <c r="Q40" s="53"/>
      <c r="R40" s="54">
        <v>286</v>
      </c>
      <c r="S40" s="54"/>
    </row>
    <row r="41" spans="1:27" ht="15.75" customHeight="1" x14ac:dyDescent="0.35">
      <c r="A41" s="52">
        <v>45821</v>
      </c>
      <c r="B41" s="53">
        <v>12</v>
      </c>
      <c r="C41" s="54"/>
      <c r="D41" s="54">
        <v>1360</v>
      </c>
      <c r="E41" s="54"/>
      <c r="F41" s="57"/>
      <c r="G41" s="53">
        <v>9.5</v>
      </c>
      <c r="H41" s="56">
        <v>0</v>
      </c>
      <c r="I41" s="54"/>
      <c r="J41" s="57"/>
      <c r="K41" s="57"/>
      <c r="L41" s="53"/>
      <c r="M41" s="54"/>
      <c r="Q41" s="53"/>
      <c r="R41" s="54"/>
      <c r="V41" s="75"/>
      <c r="Z41" s="75"/>
    </row>
    <row r="42" spans="1:27" ht="15.65" customHeight="1" x14ac:dyDescent="0.35">
      <c r="A42" s="52">
        <v>45822</v>
      </c>
      <c r="B42" s="53"/>
      <c r="C42" s="54"/>
      <c r="D42" s="54"/>
      <c r="E42" s="54"/>
      <c r="F42" s="57"/>
      <c r="G42" s="53">
        <v>12</v>
      </c>
      <c r="H42" s="56"/>
      <c r="I42" s="54">
        <v>1531</v>
      </c>
      <c r="J42" s="54"/>
      <c r="K42" s="57"/>
      <c r="L42" s="53"/>
      <c r="M42" s="54"/>
      <c r="Q42" s="53"/>
      <c r="R42" s="54">
        <v>680</v>
      </c>
      <c r="V42" s="75"/>
      <c r="Z42" s="75"/>
    </row>
    <row r="43" spans="1:27" ht="15.65" customHeight="1" x14ac:dyDescent="0.35">
      <c r="A43" s="52">
        <v>45823</v>
      </c>
      <c r="B43" s="53"/>
      <c r="C43" s="54"/>
      <c r="D43" s="54"/>
      <c r="E43" s="54"/>
      <c r="F43" s="57"/>
      <c r="G43" s="53">
        <v>9.5</v>
      </c>
      <c r="H43" s="56">
        <v>98</v>
      </c>
      <c r="I43" s="54"/>
      <c r="J43" s="57"/>
      <c r="K43" s="57"/>
      <c r="L43" s="53"/>
      <c r="M43" s="54"/>
      <c r="Q43" s="53"/>
      <c r="R43" s="54"/>
      <c r="S43" s="54">
        <v>416</v>
      </c>
    </row>
    <row r="44" spans="1:27" ht="15.65" customHeight="1" x14ac:dyDescent="0.35">
      <c r="A44" s="52">
        <v>45824</v>
      </c>
      <c r="B44" s="53">
        <v>11</v>
      </c>
      <c r="C44" s="54">
        <v>0</v>
      </c>
      <c r="D44" s="54"/>
      <c r="E44" s="54"/>
      <c r="F44" s="57"/>
      <c r="G44" s="53">
        <v>11.5</v>
      </c>
      <c r="H44" s="56"/>
      <c r="I44" s="54">
        <v>296</v>
      </c>
      <c r="J44" s="57"/>
      <c r="K44" s="57"/>
      <c r="L44" s="53"/>
      <c r="M44" s="54"/>
      <c r="Q44" s="53"/>
      <c r="R44" s="54"/>
      <c r="S44" s="54">
        <v>712</v>
      </c>
    </row>
    <row r="45" spans="1:27" ht="15.65" customHeight="1" x14ac:dyDescent="0.35">
      <c r="A45" s="52">
        <v>45825</v>
      </c>
      <c r="B45" s="53">
        <v>12</v>
      </c>
      <c r="C45" s="54"/>
      <c r="D45" s="54">
        <v>154</v>
      </c>
      <c r="E45" s="54"/>
      <c r="F45" s="57"/>
      <c r="G45" s="65"/>
      <c r="H45" s="56"/>
      <c r="I45" s="54"/>
      <c r="J45" s="57"/>
      <c r="K45" s="57"/>
      <c r="L45" s="53"/>
      <c r="M45" s="54"/>
      <c r="N45" s="54"/>
      <c r="Q45" s="53"/>
      <c r="R45" s="54">
        <v>557</v>
      </c>
      <c r="S45" s="54"/>
    </row>
    <row r="46" spans="1:27" ht="15.75" customHeight="1" x14ac:dyDescent="0.35">
      <c r="A46" s="52">
        <v>45826</v>
      </c>
      <c r="B46" s="53">
        <v>12</v>
      </c>
      <c r="C46" s="54"/>
      <c r="D46" s="54">
        <v>377</v>
      </c>
      <c r="E46" s="54"/>
      <c r="F46" s="57"/>
      <c r="G46" s="65"/>
      <c r="H46" s="56"/>
      <c r="I46" s="54"/>
      <c r="J46" s="57"/>
      <c r="K46" s="57"/>
      <c r="L46" s="53"/>
      <c r="M46" s="54"/>
      <c r="Q46" s="53"/>
      <c r="R46" s="54">
        <v>0</v>
      </c>
      <c r="V46" s="75"/>
      <c r="Z46" s="75">
        <v>10.5</v>
      </c>
      <c r="AA46" s="54">
        <v>0</v>
      </c>
    </row>
    <row r="47" spans="1:27" ht="15.75" customHeight="1" x14ac:dyDescent="0.35">
      <c r="A47" s="52">
        <v>45827</v>
      </c>
      <c r="B47" s="53"/>
      <c r="C47" s="54"/>
      <c r="D47" s="54"/>
      <c r="E47" s="54"/>
      <c r="F47" s="57"/>
      <c r="G47" s="53">
        <v>12</v>
      </c>
      <c r="H47" s="56"/>
      <c r="I47" s="54">
        <v>665</v>
      </c>
      <c r="J47" s="54"/>
      <c r="K47" s="57"/>
      <c r="L47" s="65"/>
      <c r="M47" s="54"/>
      <c r="Q47" s="65"/>
      <c r="R47" s="54">
        <v>0</v>
      </c>
      <c r="V47" s="75"/>
      <c r="W47" s="54"/>
      <c r="Z47" s="75">
        <v>10.5</v>
      </c>
      <c r="AA47" s="54">
        <v>0</v>
      </c>
    </row>
    <row r="48" spans="1:27" ht="15.65" customHeight="1" x14ac:dyDescent="0.35">
      <c r="A48" s="52">
        <v>45828</v>
      </c>
      <c r="B48" s="53"/>
      <c r="C48" s="54"/>
      <c r="E48" s="54"/>
      <c r="F48" s="57"/>
      <c r="G48" s="53">
        <v>12.5</v>
      </c>
      <c r="H48" s="56"/>
      <c r="I48" s="54">
        <v>168</v>
      </c>
      <c r="J48" s="57"/>
      <c r="K48" s="57"/>
      <c r="L48" s="53"/>
      <c r="M48" s="54"/>
      <c r="N48" s="64"/>
      <c r="S48" s="64"/>
      <c r="V48" s="53">
        <v>10</v>
      </c>
      <c r="W48" s="54">
        <v>266</v>
      </c>
      <c r="Z48" s="75"/>
    </row>
    <row r="49" spans="1:26" ht="15.75" customHeight="1" x14ac:dyDescent="0.35">
      <c r="A49" s="52">
        <v>45829</v>
      </c>
      <c r="B49" s="53"/>
      <c r="C49" s="54"/>
      <c r="D49" s="54"/>
      <c r="E49" s="54"/>
      <c r="F49" s="57"/>
      <c r="G49" s="53"/>
      <c r="H49" s="56"/>
      <c r="I49" s="54"/>
      <c r="J49" s="57"/>
      <c r="K49" s="57"/>
      <c r="L49" s="53"/>
      <c r="M49" s="54"/>
      <c r="N49" s="54"/>
      <c r="S49" s="54">
        <v>1023.8</v>
      </c>
      <c r="V49" s="53">
        <v>10.5</v>
      </c>
      <c r="W49" s="54">
        <v>366</v>
      </c>
    </row>
    <row r="50" spans="1:26" ht="15.75" customHeight="1" x14ac:dyDescent="0.35">
      <c r="A50" s="52">
        <v>45830</v>
      </c>
      <c r="B50" s="53"/>
      <c r="C50" s="54"/>
      <c r="D50" s="54"/>
      <c r="E50" s="54"/>
      <c r="F50" s="57"/>
      <c r="G50" s="53">
        <v>12</v>
      </c>
      <c r="H50" s="56"/>
      <c r="I50" s="54">
        <v>1869</v>
      </c>
      <c r="J50" s="54"/>
      <c r="K50" s="57"/>
      <c r="L50" s="53"/>
      <c r="M50" s="54"/>
      <c r="N50" s="54"/>
      <c r="O50" s="54"/>
      <c r="S50" s="54"/>
      <c r="T50" s="54"/>
      <c r="U50" s="54"/>
      <c r="V50" s="53">
        <v>10</v>
      </c>
      <c r="W50" s="54">
        <v>0</v>
      </c>
    </row>
    <row r="51" spans="1:26" ht="15.75" customHeight="1" x14ac:dyDescent="0.35">
      <c r="A51" s="52">
        <v>45831</v>
      </c>
      <c r="B51" s="53">
        <v>11</v>
      </c>
      <c r="C51" s="54">
        <v>980</v>
      </c>
      <c r="D51" s="54"/>
      <c r="E51" s="54"/>
      <c r="F51" s="57"/>
      <c r="G51" s="65">
        <v>8</v>
      </c>
      <c r="H51" s="56"/>
      <c r="I51" s="54">
        <v>238</v>
      </c>
      <c r="J51" s="54"/>
      <c r="K51" s="57"/>
      <c r="L51" s="65"/>
      <c r="M51" s="54"/>
      <c r="V51" s="65"/>
      <c r="W51" s="54"/>
    </row>
    <row r="52" spans="1:26" ht="15.75" customHeight="1" x14ac:dyDescent="0.35">
      <c r="A52" s="52">
        <v>45832</v>
      </c>
      <c r="B52" s="53">
        <v>12</v>
      </c>
      <c r="C52" s="54"/>
      <c r="D52" s="54">
        <v>590</v>
      </c>
      <c r="E52" s="54"/>
      <c r="F52" s="57"/>
      <c r="G52" s="53"/>
      <c r="H52" s="56"/>
      <c r="I52" s="54"/>
      <c r="J52" s="57"/>
      <c r="K52" s="57"/>
      <c r="L52" s="53"/>
      <c r="M52" s="54"/>
      <c r="O52" s="16"/>
      <c r="T52" s="16"/>
      <c r="U52" s="16"/>
      <c r="V52" s="53">
        <v>10</v>
      </c>
      <c r="W52" s="54">
        <v>0</v>
      </c>
    </row>
    <row r="53" spans="1:26" ht="15.75" customHeight="1" x14ac:dyDescent="0.35">
      <c r="A53" s="52">
        <v>45833</v>
      </c>
      <c r="B53" s="53"/>
      <c r="C53" s="54"/>
      <c r="D53" s="54"/>
      <c r="E53" s="54"/>
      <c r="F53" s="57"/>
      <c r="G53" s="65"/>
      <c r="H53" s="56"/>
      <c r="I53" s="54"/>
      <c r="J53" s="57"/>
      <c r="K53" s="57"/>
      <c r="L53" s="53">
        <v>12</v>
      </c>
      <c r="M53" s="54"/>
      <c r="N53" s="64">
        <v>558</v>
      </c>
      <c r="V53" s="53">
        <v>10</v>
      </c>
      <c r="W53" s="54">
        <v>417</v>
      </c>
      <c r="Z53" s="75"/>
    </row>
    <row r="54" spans="1:26" ht="15.75" customHeight="1" x14ac:dyDescent="0.35">
      <c r="A54" s="52">
        <v>45834</v>
      </c>
      <c r="B54" s="53"/>
      <c r="C54" s="54"/>
      <c r="D54" s="54"/>
      <c r="E54" s="54"/>
      <c r="F54" s="57"/>
      <c r="G54" s="53">
        <v>12</v>
      </c>
      <c r="H54" s="56"/>
      <c r="I54" s="54">
        <v>0</v>
      </c>
      <c r="J54" s="57"/>
      <c r="K54" s="57"/>
      <c r="L54" s="53"/>
      <c r="M54" s="54"/>
      <c r="S54" s="54">
        <v>0</v>
      </c>
      <c r="V54" s="53">
        <v>10</v>
      </c>
      <c r="W54" s="54">
        <v>491</v>
      </c>
      <c r="Z54" s="75"/>
    </row>
    <row r="55" spans="1:26" ht="15.75" customHeight="1" x14ac:dyDescent="0.35">
      <c r="A55" s="52">
        <v>45835</v>
      </c>
      <c r="B55" s="53">
        <v>11</v>
      </c>
      <c r="C55" s="54">
        <v>420</v>
      </c>
      <c r="D55" s="54"/>
      <c r="E55" s="54">
        <v>410</v>
      </c>
      <c r="F55" s="57"/>
      <c r="G55" s="53">
        <v>9.5</v>
      </c>
      <c r="H55" s="56"/>
      <c r="I55" s="54">
        <v>842</v>
      </c>
      <c r="J55" s="60"/>
      <c r="K55" s="57"/>
      <c r="L55" s="53"/>
      <c r="M55" s="54"/>
      <c r="V55" s="53"/>
      <c r="W55" s="54"/>
      <c r="Z55" s="75"/>
    </row>
    <row r="56" spans="1:26" ht="15.75" customHeight="1" x14ac:dyDescent="0.35">
      <c r="A56" s="52">
        <v>45836</v>
      </c>
      <c r="B56" s="53">
        <v>12</v>
      </c>
      <c r="C56" s="54"/>
      <c r="D56" s="54">
        <v>1278</v>
      </c>
      <c r="E56" s="54"/>
      <c r="F56" s="57"/>
      <c r="G56" s="53"/>
      <c r="H56" s="56"/>
      <c r="I56" s="54"/>
      <c r="J56" s="57"/>
      <c r="K56" s="57"/>
      <c r="L56" s="53">
        <v>10</v>
      </c>
      <c r="M56" s="54">
        <v>210</v>
      </c>
      <c r="N56" s="54"/>
      <c r="O56" s="54">
        <v>220</v>
      </c>
      <c r="V56" s="53"/>
      <c r="W56" s="54"/>
      <c r="Z56" s="75"/>
    </row>
    <row r="57" spans="1:26" ht="15.75" customHeight="1" x14ac:dyDescent="0.35">
      <c r="A57" s="52">
        <v>45837</v>
      </c>
      <c r="B57" s="53"/>
      <c r="C57" s="54"/>
      <c r="D57" s="54"/>
      <c r="E57" s="54"/>
      <c r="F57" s="57"/>
      <c r="G57" s="53"/>
      <c r="H57" s="56"/>
      <c r="I57" s="54"/>
      <c r="J57" s="57"/>
      <c r="K57" s="57"/>
      <c r="L57" s="66">
        <v>12</v>
      </c>
      <c r="M57" s="54"/>
      <c r="N57" s="54">
        <v>1140</v>
      </c>
      <c r="S57" s="54"/>
      <c r="V57" s="66">
        <v>10</v>
      </c>
      <c r="W57" s="54">
        <v>450</v>
      </c>
      <c r="Z57" s="75"/>
    </row>
    <row r="58" spans="1:26" ht="15.75" customHeight="1" x14ac:dyDescent="0.35">
      <c r="A58" s="52">
        <v>45838</v>
      </c>
      <c r="B58" s="53">
        <v>11</v>
      </c>
      <c r="C58" s="54">
        <v>0</v>
      </c>
      <c r="D58" s="54"/>
      <c r="E58" s="54"/>
      <c r="F58" s="57"/>
      <c r="G58" s="53">
        <v>12</v>
      </c>
      <c r="H58" s="56"/>
      <c r="I58" s="54">
        <v>0</v>
      </c>
      <c r="J58" s="57"/>
      <c r="K58" s="57"/>
      <c r="L58" s="66"/>
      <c r="M58" s="54"/>
      <c r="V58" s="66"/>
      <c r="W58" s="54"/>
      <c r="Z58" s="75"/>
    </row>
    <row r="59" spans="1:26" ht="15.75" customHeight="1" x14ac:dyDescent="0.35">
      <c r="A59" s="52"/>
      <c r="B59" s="53"/>
      <c r="C59" s="54"/>
      <c r="D59" s="54"/>
      <c r="E59" s="54"/>
      <c r="F59" s="57"/>
      <c r="G59" s="53"/>
      <c r="H59" s="56"/>
      <c r="I59" s="54"/>
      <c r="J59" s="57"/>
      <c r="K59" s="57"/>
      <c r="L59" s="92" t="s">
        <v>44</v>
      </c>
      <c r="M59" s="54"/>
      <c r="N59" s="54"/>
      <c r="Q59" s="66"/>
      <c r="R59" s="54"/>
      <c r="S59" s="54"/>
      <c r="V59" s="75"/>
      <c r="Z59" s="7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04E2-E86B-4288-B185-A69A531ADD1B}">
  <dimension ref="A1:AF61"/>
  <sheetViews>
    <sheetView topLeftCell="B7" zoomScale="84" zoomScaleNormal="84" workbookViewId="0">
      <selection activeCell="M21" sqref="M21"/>
    </sheetView>
  </sheetViews>
  <sheetFormatPr defaultColWidth="12.6328125" defaultRowHeight="14.5" x14ac:dyDescent="0.35"/>
  <cols>
    <col min="1" max="1" width="26" customWidth="1"/>
    <col min="2" max="2" width="13" customWidth="1"/>
    <col min="3" max="3" width="9.81640625" customWidth="1"/>
    <col min="4" max="4" width="10.1796875" customWidth="1"/>
    <col min="5" max="5" width="12.54296875" customWidth="1"/>
    <col min="6" max="6" width="2.453125" customWidth="1"/>
    <col min="7" max="7" width="10.3632812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63281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8" width="10.1796875" customWidth="1"/>
    <col min="19" max="19" width="12.54296875" customWidth="1"/>
    <col min="20" max="20" width="10.6328125" customWidth="1"/>
    <col min="21" max="21" width="3" customWidth="1"/>
    <col min="22" max="22" width="9.90625" style="7" customWidth="1"/>
    <col min="23" max="23" width="11.1796875" style="7" customWidth="1"/>
    <col min="24" max="24" width="8.36328125" style="7" customWidth="1"/>
    <col min="25" max="25" width="2.453125" style="7" customWidth="1"/>
    <col min="26" max="26" width="11.26953125" style="7" customWidth="1"/>
    <col min="27" max="27" width="11.54296875" style="7" customWidth="1"/>
    <col min="28" max="28" width="10.1796875" style="7" customWidth="1"/>
    <col min="29" max="29" width="2.7265625" customWidth="1"/>
    <col min="30" max="30" width="10.08984375" style="98" customWidth="1"/>
    <col min="31" max="31" width="12.6328125" style="94"/>
    <col min="32" max="32" width="10.36328125" customWidth="1"/>
  </cols>
  <sheetData>
    <row r="1" spans="1:32" ht="15.75" customHeight="1" x14ac:dyDescent="0.35">
      <c r="A1" s="1" t="s">
        <v>47</v>
      </c>
      <c r="C1" s="2"/>
      <c r="D1" s="2"/>
      <c r="E1" s="3" t="s">
        <v>0</v>
      </c>
      <c r="L1" s="5"/>
      <c r="M1" s="6"/>
      <c r="N1" s="6"/>
      <c r="Q1" s="5"/>
      <c r="R1" s="6"/>
      <c r="S1" s="6"/>
    </row>
    <row r="2" spans="1:32" ht="15.75" customHeight="1" x14ac:dyDescent="0.35">
      <c r="A2" s="8"/>
      <c r="B2" s="9"/>
      <c r="C2" s="2"/>
      <c r="D2" s="2"/>
      <c r="L2" s="5"/>
      <c r="M2" s="6"/>
      <c r="N2" s="6"/>
      <c r="Q2" s="5"/>
      <c r="R2" s="6"/>
      <c r="S2" s="6"/>
    </row>
    <row r="3" spans="1:32" ht="15.75" customHeight="1" x14ac:dyDescent="0.35">
      <c r="A3" s="8"/>
      <c r="B3" s="10"/>
      <c r="C3" s="2"/>
      <c r="D3" s="2"/>
      <c r="L3" s="5"/>
      <c r="M3" s="6"/>
      <c r="N3" s="6"/>
      <c r="Q3" s="5"/>
      <c r="R3" s="6"/>
      <c r="S3" s="6"/>
    </row>
    <row r="4" spans="1:32" ht="15.75" customHeight="1" x14ac:dyDescent="0.35">
      <c r="A4" s="3" t="s">
        <v>1</v>
      </c>
      <c r="B4" s="11">
        <f>B14+G14+L14+V14+Z14</f>
        <v>528</v>
      </c>
      <c r="C4" s="2"/>
      <c r="D4" s="2"/>
      <c r="L4" s="5"/>
      <c r="M4" s="6"/>
      <c r="N4" s="6"/>
      <c r="Q4" s="5"/>
      <c r="R4" s="6"/>
      <c r="S4" s="6"/>
    </row>
    <row r="5" spans="1:32" ht="15.75" customHeight="1" x14ac:dyDescent="0.35">
      <c r="A5" s="3" t="s">
        <v>40</v>
      </c>
      <c r="B5" s="12">
        <f>B15+G15+L15+Q15+V15+Z15+AD15</f>
        <v>8459</v>
      </c>
      <c r="C5" s="2"/>
      <c r="D5" s="2"/>
      <c r="L5" s="5"/>
      <c r="M5" s="6"/>
      <c r="N5" s="6"/>
      <c r="Q5" s="5"/>
      <c r="R5" s="6"/>
      <c r="S5" s="6"/>
    </row>
    <row r="6" spans="1:32" ht="15.75" customHeight="1" x14ac:dyDescent="0.35">
      <c r="A6" s="3" t="s">
        <v>41</v>
      </c>
      <c r="B6" s="13">
        <f>B16+G16+L16+Q16</f>
        <v>13326</v>
      </c>
      <c r="C6" s="2"/>
      <c r="D6" s="2"/>
      <c r="L6" s="5"/>
      <c r="M6" s="6"/>
      <c r="N6" s="6"/>
      <c r="Q6" s="5"/>
      <c r="R6" s="6"/>
      <c r="S6" s="6"/>
    </row>
    <row r="7" spans="1:32" ht="15.75" customHeight="1" x14ac:dyDescent="0.35">
      <c r="A7" s="3" t="s">
        <v>4</v>
      </c>
      <c r="B7" s="14">
        <f>B5+B6+C7</f>
        <v>23395</v>
      </c>
      <c r="C7" s="15">
        <f>C17+H17+M17+W18+AB17</f>
        <v>1610</v>
      </c>
      <c r="D7" s="15"/>
      <c r="E7" s="16"/>
      <c r="L7" s="5"/>
      <c r="M7" s="6"/>
      <c r="N7" s="6"/>
      <c r="Q7" s="5"/>
      <c r="R7" s="6"/>
      <c r="S7" s="6"/>
    </row>
    <row r="8" spans="1:32" ht="15.75" customHeight="1" x14ac:dyDescent="0.35">
      <c r="A8" s="3" t="s">
        <v>5</v>
      </c>
      <c r="B8" s="14">
        <f>B22+G22+L22+V22</f>
        <v>7658.8</v>
      </c>
      <c r="C8" s="2"/>
      <c r="D8" s="2"/>
      <c r="L8" s="5"/>
      <c r="M8" s="6"/>
      <c r="N8" s="6"/>
      <c r="Q8" s="5"/>
      <c r="R8" s="6"/>
      <c r="S8" s="6"/>
    </row>
    <row r="9" spans="1:32" ht="15.75" customHeight="1" x14ac:dyDescent="0.35">
      <c r="A9" s="3"/>
      <c r="B9" s="17"/>
      <c r="L9" s="5"/>
      <c r="M9" s="6"/>
      <c r="N9" s="6"/>
      <c r="Q9" s="5"/>
      <c r="R9" s="6"/>
      <c r="S9" s="6"/>
    </row>
    <row r="10" spans="1:32" ht="15.75" customHeight="1" x14ac:dyDescent="0.35">
      <c r="A10" s="3" t="s">
        <v>6</v>
      </c>
      <c r="B10" s="14">
        <f>B8+B23+L26</f>
        <v>7858.8</v>
      </c>
      <c r="C10" s="2"/>
      <c r="D10" s="2"/>
      <c r="L10" s="5"/>
      <c r="M10" s="6"/>
      <c r="N10" s="6"/>
      <c r="Q10" s="5"/>
      <c r="R10" s="6"/>
      <c r="S10" s="6"/>
    </row>
    <row r="11" spans="1:32" ht="15.75" customHeight="1" x14ac:dyDescent="0.35">
      <c r="B11" s="18"/>
      <c r="C11" s="2"/>
      <c r="D11" s="2"/>
      <c r="G11" s="18"/>
      <c r="L11" s="5"/>
      <c r="M11" s="6"/>
      <c r="N11" s="6"/>
      <c r="Q11" s="5"/>
      <c r="R11" s="6"/>
      <c r="S11" s="6"/>
      <c r="V11" s="19"/>
      <c r="Z11" s="19"/>
    </row>
    <row r="12" spans="1:32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11</v>
      </c>
      <c r="R12" s="6"/>
      <c r="S12" s="6"/>
      <c r="V12" s="18" t="s">
        <v>33</v>
      </c>
      <c r="Z12" s="18" t="s">
        <v>49</v>
      </c>
      <c r="AD12" s="99" t="s">
        <v>48</v>
      </c>
      <c r="AE12" s="95"/>
      <c r="AF12" s="7"/>
    </row>
    <row r="13" spans="1:32" ht="15.75" customHeight="1" x14ac:dyDescent="0.35">
      <c r="B13" s="18"/>
      <c r="C13" s="2"/>
      <c r="D13" s="2"/>
      <c r="G13" s="18"/>
      <c r="H13" s="20"/>
      <c r="I13" s="5"/>
      <c r="J13" s="5"/>
      <c r="L13" s="18"/>
      <c r="M13" s="6"/>
      <c r="N13" s="6"/>
      <c r="Q13" s="18"/>
      <c r="R13" s="6"/>
      <c r="S13" s="6"/>
      <c r="V13" s="18"/>
      <c r="Z13" s="18" t="s">
        <v>50</v>
      </c>
      <c r="AD13" s="99" t="s">
        <v>51</v>
      </c>
      <c r="AE13" s="95"/>
      <c r="AF13" s="7"/>
    </row>
    <row r="14" spans="1:32" ht="15.75" customHeight="1" x14ac:dyDescent="0.35">
      <c r="A14" s="18" t="s">
        <v>12</v>
      </c>
      <c r="B14" s="22">
        <f>SUM(B30:B62)</f>
        <v>120</v>
      </c>
      <c r="C14" s="2"/>
      <c r="D14" s="2"/>
      <c r="G14" s="23">
        <f>SUM(G30:G60)</f>
        <v>180.5</v>
      </c>
      <c r="H14" s="20"/>
      <c r="I14" s="5"/>
      <c r="J14" s="5"/>
      <c r="L14" s="23">
        <f>SUM(L30:L62)</f>
        <v>104</v>
      </c>
      <c r="M14" s="6"/>
      <c r="N14" s="6"/>
      <c r="Q14" s="23">
        <f>SUM(Q30:Q62)</f>
        <v>0</v>
      </c>
      <c r="R14" s="6"/>
      <c r="S14" s="6"/>
      <c r="V14" s="23">
        <f>SUM(V28:V60)</f>
        <v>117</v>
      </c>
      <c r="W14" s="20"/>
      <c r="X14" s="5"/>
      <c r="Y14" s="5"/>
      <c r="Z14" s="23">
        <f>SUM(Z28:Z60)</f>
        <v>6.5</v>
      </c>
      <c r="AA14" s="20"/>
      <c r="AB14" s="5"/>
      <c r="AD14" s="23">
        <f>SUM(AD28:AD60)</f>
        <v>27</v>
      </c>
      <c r="AE14" s="20"/>
      <c r="AF14" s="5"/>
    </row>
    <row r="15" spans="1:32" ht="15.75" customHeight="1" x14ac:dyDescent="0.35">
      <c r="A15" s="3" t="s">
        <v>40</v>
      </c>
      <c r="B15" s="24">
        <f>SUM(C30:C60)</f>
        <v>0</v>
      </c>
      <c r="C15" s="2"/>
      <c r="D15" s="2"/>
      <c r="G15" s="25">
        <f>SUM(H30:H60)</f>
        <v>1776</v>
      </c>
      <c r="H15" s="20"/>
      <c r="I15" s="5"/>
      <c r="J15" s="5"/>
      <c r="L15" s="25">
        <f>SUM(M30:M60)</f>
        <v>1694</v>
      </c>
      <c r="M15" s="6"/>
      <c r="N15" s="6"/>
      <c r="Q15" s="25">
        <f>SUM(R30:R60)</f>
        <v>1908</v>
      </c>
      <c r="R15" s="6"/>
      <c r="S15" s="6"/>
      <c r="V15" s="97">
        <f>SUM(W30:W60)</f>
        <v>1837</v>
      </c>
      <c r="W15" s="20"/>
      <c r="X15" s="5"/>
      <c r="Y15" s="5"/>
      <c r="Z15" s="25">
        <f>SUM(AA30:AA60)</f>
        <v>104</v>
      </c>
      <c r="AA15" s="20"/>
      <c r="AB15" s="5"/>
      <c r="AD15" s="25">
        <f>SUM(AE30:AE60)</f>
        <v>1140</v>
      </c>
      <c r="AE15" s="20"/>
      <c r="AF15" s="5"/>
    </row>
    <row r="16" spans="1:32" ht="15.75" customHeight="1" x14ac:dyDescent="0.35">
      <c r="A16" s="18" t="s">
        <v>41</v>
      </c>
      <c r="B16" s="25">
        <f>SUM(D30:D60)</f>
        <v>5205</v>
      </c>
      <c r="C16" s="2"/>
      <c r="D16" s="2"/>
      <c r="G16" s="25">
        <f>SUM(I30:I60)</f>
        <v>4431</v>
      </c>
      <c r="H16" s="20"/>
      <c r="I16" s="5"/>
      <c r="J16" s="5"/>
      <c r="L16" s="25">
        <f>SUM(N30:N60)</f>
        <v>1600</v>
      </c>
      <c r="M16" s="6"/>
      <c r="N16" s="6"/>
      <c r="Q16" s="25">
        <f>SUM(S30:S60)</f>
        <v>2090</v>
      </c>
      <c r="R16" s="6"/>
      <c r="S16" s="6"/>
      <c r="V16" s="25"/>
      <c r="W16" s="20"/>
      <c r="X16" s="5"/>
      <c r="Y16" s="5"/>
      <c r="Z16" s="25"/>
      <c r="AA16" s="20"/>
      <c r="AB16" s="5"/>
      <c r="AD16" s="25"/>
      <c r="AE16" s="20"/>
      <c r="AF16" s="5"/>
    </row>
    <row r="17" spans="1:32" ht="15.75" customHeight="1" x14ac:dyDescent="0.35">
      <c r="A17" s="18" t="s">
        <v>13</v>
      </c>
      <c r="B17" s="25">
        <f>B15+B16</f>
        <v>5205</v>
      </c>
      <c r="C17" s="28">
        <f>SUM(E30:E61)</f>
        <v>0</v>
      </c>
      <c r="D17" s="31"/>
      <c r="E17" s="27"/>
      <c r="G17" s="25">
        <f>G15+G16+H17</f>
        <v>6567</v>
      </c>
      <c r="H17" s="28">
        <f>SUM(J30:J61)</f>
        <v>360</v>
      </c>
      <c r="I17" s="29"/>
      <c r="J17" s="30"/>
      <c r="L17" s="25">
        <f>L15+L16+M17</f>
        <v>4544</v>
      </c>
      <c r="M17" s="26">
        <f>SUM(O30:O60)</f>
        <v>1250</v>
      </c>
      <c r="N17" s="31"/>
      <c r="O17" s="30"/>
      <c r="Q17" s="25">
        <f>Q15+Q16+R17</f>
        <v>4683</v>
      </c>
      <c r="R17" s="26">
        <f>SUM(T30:T60)</f>
        <v>685</v>
      </c>
      <c r="S17" s="31"/>
      <c r="T17" s="30"/>
      <c r="U17" s="30"/>
      <c r="V17" s="25">
        <f>V15+V16</f>
        <v>1837</v>
      </c>
      <c r="W17" s="26">
        <f>SUM(Y30:Y60)</f>
        <v>0</v>
      </c>
      <c r="X17" s="31"/>
      <c r="Y17" s="31"/>
      <c r="Z17" s="25">
        <f>Z15+Z16</f>
        <v>104</v>
      </c>
      <c r="AA17" s="26">
        <f>SUM(AC30:AC60)</f>
        <v>0</v>
      </c>
      <c r="AB17" s="31"/>
      <c r="AD17" s="25">
        <f>AD15+AD16</f>
        <v>1140</v>
      </c>
      <c r="AE17" s="96">
        <f>SUM(AG30:AG60)</f>
        <v>0</v>
      </c>
      <c r="AF17" s="31"/>
    </row>
    <row r="18" spans="1:32" ht="15.75" customHeight="1" x14ac:dyDescent="0.35">
      <c r="A18" s="5" t="s">
        <v>14</v>
      </c>
      <c r="B18" s="24">
        <v>12</v>
      </c>
      <c r="C18" s="2"/>
      <c r="D18" s="2"/>
      <c r="G18" s="25">
        <v>11</v>
      </c>
      <c r="H18" s="20"/>
      <c r="I18" s="5"/>
      <c r="J18" s="5"/>
      <c r="L18" s="25">
        <v>12</v>
      </c>
      <c r="M18" s="6"/>
      <c r="N18" s="6"/>
      <c r="Q18" s="25"/>
      <c r="R18" s="6"/>
      <c r="S18" s="6"/>
      <c r="V18" s="25">
        <v>10</v>
      </c>
      <c r="W18" s="20"/>
      <c r="X18" s="5"/>
      <c r="Y18" s="5"/>
      <c r="Z18" s="25">
        <v>10</v>
      </c>
      <c r="AA18" s="20"/>
      <c r="AB18" s="5"/>
      <c r="AD18" s="25">
        <v>10</v>
      </c>
      <c r="AE18" s="20"/>
      <c r="AF18" s="5"/>
    </row>
    <row r="19" spans="1:32" ht="15.75" customHeight="1" x14ac:dyDescent="0.35">
      <c r="A19" s="5" t="s">
        <v>15</v>
      </c>
      <c r="B19" s="32">
        <v>10</v>
      </c>
      <c r="C19" s="6">
        <v>10</v>
      </c>
      <c r="D19" s="6"/>
      <c r="G19" s="33">
        <v>10</v>
      </c>
      <c r="H19" s="20">
        <v>10</v>
      </c>
      <c r="I19" s="5"/>
      <c r="J19" s="5"/>
      <c r="L19" s="33">
        <v>10</v>
      </c>
      <c r="M19" s="6">
        <v>10</v>
      </c>
      <c r="N19" s="6"/>
      <c r="O19" s="5"/>
      <c r="Q19" s="33"/>
      <c r="R19" s="6"/>
      <c r="S19" s="6"/>
      <c r="T19" s="5"/>
      <c r="U19" s="5"/>
      <c r="V19" s="33">
        <v>10</v>
      </c>
      <c r="W19" s="20">
        <v>10</v>
      </c>
      <c r="X19" s="5"/>
      <c r="Y19" s="5"/>
      <c r="Z19" s="33">
        <v>10</v>
      </c>
      <c r="AA19" s="20">
        <v>10</v>
      </c>
      <c r="AB19" s="5"/>
      <c r="AD19" s="33">
        <v>10</v>
      </c>
      <c r="AE19" s="20">
        <v>10</v>
      </c>
      <c r="AF19" s="5"/>
    </row>
    <row r="20" spans="1:32" ht="15.75" customHeight="1" x14ac:dyDescent="0.35">
      <c r="A20" s="5" t="s">
        <v>16</v>
      </c>
      <c r="B20" s="24">
        <f>B18*B14</f>
        <v>1440</v>
      </c>
      <c r="D20" s="6"/>
      <c r="G20" s="25">
        <f>G18*G14</f>
        <v>1985.5</v>
      </c>
      <c r="H20" s="20"/>
      <c r="I20" s="5"/>
      <c r="J20" s="5"/>
      <c r="L20" s="25">
        <f>L18*L14</f>
        <v>1248</v>
      </c>
      <c r="M20" s="6"/>
      <c r="N20" s="6"/>
      <c r="O20" s="5"/>
      <c r="Q20" s="25"/>
      <c r="R20" s="6"/>
      <c r="S20" s="6"/>
      <c r="T20" s="5"/>
      <c r="U20" s="5"/>
      <c r="V20" s="25">
        <f>V18*V14</f>
        <v>1170</v>
      </c>
      <c r="W20" s="20"/>
      <c r="X20" s="5"/>
      <c r="Y20" s="5"/>
      <c r="Z20" s="25">
        <f>Z18*Z14</f>
        <v>65</v>
      </c>
      <c r="AA20" s="20"/>
      <c r="AB20" s="5"/>
      <c r="AD20" s="25">
        <f>AD18*AD14</f>
        <v>270</v>
      </c>
      <c r="AE20" s="20"/>
      <c r="AF20" s="5"/>
    </row>
    <row r="21" spans="1:32" ht="15.75" customHeight="1" x14ac:dyDescent="0.35">
      <c r="A21" s="5" t="s">
        <v>17</v>
      </c>
      <c r="B21" s="25">
        <f>B17*(B19/100)+C21</f>
        <v>520.5</v>
      </c>
      <c r="C21" s="6"/>
      <c r="D21" s="6"/>
      <c r="E21" s="31" t="s">
        <v>18</v>
      </c>
      <c r="G21" s="25">
        <f>G17*(G19/100)</f>
        <v>656.7</v>
      </c>
      <c r="H21" s="29"/>
      <c r="I21" s="29"/>
      <c r="J21" s="31"/>
      <c r="L21" s="25">
        <f>L17*(L19/100)</f>
        <v>454.40000000000003</v>
      </c>
      <c r="M21" s="29"/>
      <c r="N21" s="6"/>
      <c r="O21" s="31"/>
      <c r="Q21" s="25"/>
      <c r="R21" s="29">
        <f>R17*(R19/100)</f>
        <v>0</v>
      </c>
      <c r="S21" s="6"/>
      <c r="T21" s="31"/>
      <c r="U21" s="31"/>
      <c r="V21" s="25">
        <f>V17*(V19/100)+W21</f>
        <v>183.70000000000002</v>
      </c>
      <c r="W21" s="29"/>
      <c r="X21" s="31"/>
      <c r="Y21" s="31"/>
      <c r="Z21" s="25">
        <f>Z17*(Z19/100)+AA21</f>
        <v>10.4</v>
      </c>
      <c r="AA21" s="29"/>
      <c r="AB21" s="31"/>
      <c r="AD21" s="25">
        <f>AD17*(AD19/100)+AE21</f>
        <v>114</v>
      </c>
      <c r="AE21" s="29"/>
      <c r="AF21" s="31"/>
    </row>
    <row r="22" spans="1:32" ht="15.75" customHeight="1" x14ac:dyDescent="0.35">
      <c r="A22" s="5" t="s">
        <v>19</v>
      </c>
      <c r="B22" s="24">
        <f>B20+B21</f>
        <v>1960.5</v>
      </c>
      <c r="C22" s="6"/>
      <c r="D22" s="6"/>
      <c r="G22" s="25">
        <f>G20+G21</f>
        <v>2642.2</v>
      </c>
      <c r="H22" s="20"/>
      <c r="I22" s="5"/>
      <c r="J22" s="5"/>
      <c r="L22" s="25">
        <f>L20+L21</f>
        <v>1702.4</v>
      </c>
      <c r="M22" s="6"/>
      <c r="N22" s="6"/>
      <c r="O22" s="5"/>
      <c r="Q22" s="25"/>
      <c r="R22" s="6"/>
      <c r="S22" s="6"/>
      <c r="T22" s="5"/>
      <c r="U22" s="5"/>
      <c r="V22" s="25">
        <f>V20+V21</f>
        <v>1353.7</v>
      </c>
      <c r="W22" s="20"/>
      <c r="X22" s="5"/>
      <c r="Y22" s="5"/>
      <c r="Z22" s="25">
        <f>Z20+Z21</f>
        <v>75.400000000000006</v>
      </c>
      <c r="AA22" s="20"/>
      <c r="AB22" s="5"/>
      <c r="AD22" s="25">
        <f>AD20+AD21</f>
        <v>384</v>
      </c>
      <c r="AE22" s="20"/>
      <c r="AF22" s="5"/>
    </row>
    <row r="23" spans="1:32" ht="15.75" customHeight="1" x14ac:dyDescent="0.35">
      <c r="A23" s="35" t="s">
        <v>20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6"/>
      <c r="S23" s="6"/>
      <c r="T23" s="5"/>
      <c r="U23" s="5"/>
      <c r="V23" s="24"/>
      <c r="W23" s="20"/>
      <c r="X23" s="5"/>
      <c r="Y23" s="5"/>
      <c r="Z23" s="24"/>
      <c r="AA23" s="20"/>
      <c r="AB23" s="5"/>
      <c r="AD23" s="25"/>
      <c r="AE23" s="20"/>
      <c r="AF23" s="5"/>
    </row>
    <row r="24" spans="1:32" ht="15.75" customHeight="1" x14ac:dyDescent="0.35">
      <c r="A24" s="35" t="s">
        <v>21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6"/>
      <c r="S24" s="6"/>
      <c r="T24" s="5"/>
      <c r="U24" s="5"/>
      <c r="V24" s="24"/>
      <c r="W24" s="20"/>
      <c r="X24" s="5"/>
      <c r="Y24" s="5"/>
      <c r="Z24" s="24"/>
      <c r="AA24" s="20"/>
      <c r="AB24" s="5"/>
      <c r="AD24" s="25"/>
      <c r="AE24" s="20"/>
      <c r="AF24" s="5"/>
    </row>
    <row r="25" spans="1:32" ht="15.75" customHeight="1" x14ac:dyDescent="0.35">
      <c r="A25" s="35" t="s">
        <v>22</v>
      </c>
      <c r="B25" s="36"/>
      <c r="C25" s="6"/>
      <c r="D25" s="6"/>
      <c r="G25" s="24"/>
      <c r="H25" s="20"/>
      <c r="I25" s="5"/>
      <c r="J25" s="5"/>
      <c r="L25" s="24"/>
      <c r="M25" s="6"/>
      <c r="N25" s="6"/>
      <c r="O25" s="5"/>
      <c r="Q25" s="24"/>
      <c r="R25" s="6"/>
      <c r="S25" s="6"/>
      <c r="T25" s="5"/>
      <c r="U25" s="5"/>
      <c r="V25" s="24"/>
      <c r="W25" s="20"/>
      <c r="X25" s="5"/>
      <c r="Y25" s="5"/>
      <c r="Z25" s="24"/>
      <c r="AA25" s="20"/>
      <c r="AB25" s="5"/>
      <c r="AD25" s="25"/>
      <c r="AE25" s="20"/>
      <c r="AF25" s="5"/>
    </row>
    <row r="26" spans="1:32" x14ac:dyDescent="0.35">
      <c r="A26" s="5" t="s">
        <v>23</v>
      </c>
      <c r="B26" s="24"/>
      <c r="C26" s="37"/>
      <c r="D26" s="37"/>
      <c r="G26" s="24"/>
      <c r="H26" s="38"/>
      <c r="I26" s="39"/>
      <c r="J26" s="5"/>
      <c r="L26" s="40">
        <v>200</v>
      </c>
      <c r="M26" s="37"/>
      <c r="N26" s="37"/>
      <c r="O26" s="5"/>
      <c r="Q26" s="40"/>
      <c r="R26" s="37"/>
      <c r="S26" s="37"/>
      <c r="T26" s="5"/>
      <c r="U26" s="5"/>
      <c r="V26" s="24"/>
      <c r="W26" s="38"/>
      <c r="X26" s="39"/>
      <c r="Y26" s="39"/>
      <c r="Z26" s="24"/>
      <c r="AA26" s="38"/>
      <c r="AB26" s="39"/>
      <c r="AD26" s="25"/>
      <c r="AE26" s="38"/>
      <c r="AF26" s="39"/>
    </row>
    <row r="27" spans="1:32" x14ac:dyDescent="0.35">
      <c r="A27" s="5" t="s">
        <v>24</v>
      </c>
      <c r="B27" s="41">
        <f>B22-B24+B26</f>
        <v>1960.5</v>
      </c>
      <c r="C27" s="6"/>
      <c r="D27" s="6"/>
      <c r="G27" s="42">
        <f>G22-G25+G26</f>
        <v>2642.2</v>
      </c>
      <c r="H27" s="20"/>
      <c r="I27" s="5"/>
      <c r="J27" s="5"/>
      <c r="L27" s="42">
        <f>L22+L26</f>
        <v>1902.4</v>
      </c>
      <c r="O27" s="5"/>
      <c r="Q27" s="42"/>
      <c r="T27" s="5"/>
      <c r="U27" s="5"/>
      <c r="V27" s="42">
        <f>V22-V25+V26</f>
        <v>1353.7</v>
      </c>
      <c r="W27" s="20"/>
      <c r="X27" s="5"/>
      <c r="Y27" s="5"/>
      <c r="Z27" s="42">
        <f>Z22-Z25+Z26</f>
        <v>75.400000000000006</v>
      </c>
      <c r="AA27" s="20"/>
      <c r="AB27" s="5"/>
      <c r="AD27" s="42">
        <f>AD22-AD25+AD26</f>
        <v>384</v>
      </c>
      <c r="AE27" s="20"/>
      <c r="AF27" s="5"/>
    </row>
    <row r="28" spans="1:32" ht="15.75" customHeight="1" x14ac:dyDescent="0.35">
      <c r="A28" s="5"/>
      <c r="B28" s="5"/>
      <c r="C28" s="6"/>
      <c r="D28" s="6"/>
      <c r="G28" s="5"/>
      <c r="H28" s="20"/>
      <c r="I28" s="5"/>
      <c r="J28" s="5"/>
      <c r="L28" s="5"/>
      <c r="M28" s="6"/>
      <c r="N28" s="6"/>
      <c r="O28" s="5"/>
      <c r="Q28" s="5"/>
      <c r="R28" s="6"/>
      <c r="S28" s="6"/>
      <c r="T28" s="5"/>
      <c r="U28" s="5"/>
      <c r="V28" s="44"/>
      <c r="W28" s="44"/>
      <c r="Z28" s="44"/>
      <c r="AA28" s="44"/>
    </row>
    <row r="29" spans="1:32" ht="36" customHeight="1" x14ac:dyDescent="0.35">
      <c r="A29" s="5" t="s">
        <v>25</v>
      </c>
      <c r="B29" s="87" t="s">
        <v>26</v>
      </c>
      <c r="C29" s="88" t="s">
        <v>27</v>
      </c>
      <c r="D29" s="89" t="s">
        <v>42</v>
      </c>
      <c r="E29" s="90" t="s">
        <v>29</v>
      </c>
      <c r="F29" s="48" t="s">
        <v>30</v>
      </c>
      <c r="G29" s="87" t="s">
        <v>26</v>
      </c>
      <c r="H29" s="88" t="s">
        <v>27</v>
      </c>
      <c r="I29" s="89" t="s">
        <v>42</v>
      </c>
      <c r="J29" s="90" t="s">
        <v>29</v>
      </c>
      <c r="L29" s="87" t="s">
        <v>26</v>
      </c>
      <c r="M29" s="91" t="s">
        <v>27</v>
      </c>
      <c r="N29" s="89" t="s">
        <v>42</v>
      </c>
      <c r="O29" s="90" t="s">
        <v>29</v>
      </c>
      <c r="Q29" s="87" t="s">
        <v>26</v>
      </c>
      <c r="R29" s="91" t="s">
        <v>27</v>
      </c>
      <c r="S29" s="89" t="s">
        <v>42</v>
      </c>
      <c r="T29" s="90" t="s">
        <v>29</v>
      </c>
      <c r="U29" s="86"/>
      <c r="V29" s="87" t="s">
        <v>26</v>
      </c>
      <c r="W29" s="91" t="s">
        <v>27</v>
      </c>
      <c r="X29" s="90" t="s">
        <v>29</v>
      </c>
      <c r="Y29" s="86"/>
      <c r="Z29" s="87" t="s">
        <v>26</v>
      </c>
      <c r="AA29" s="91" t="s">
        <v>27</v>
      </c>
      <c r="AB29" s="90" t="s">
        <v>29</v>
      </c>
      <c r="AD29" s="100" t="s">
        <v>26</v>
      </c>
      <c r="AE29" s="91" t="s">
        <v>27</v>
      </c>
      <c r="AF29" s="90" t="s">
        <v>29</v>
      </c>
    </row>
    <row r="30" spans="1:32" ht="15.75" customHeight="1" x14ac:dyDescent="0.35">
      <c r="A30" s="52">
        <v>45870</v>
      </c>
      <c r="B30" s="53"/>
      <c r="C30" s="54"/>
      <c r="D30" s="54">
        <v>290.5</v>
      </c>
      <c r="E30" s="54"/>
      <c r="F30" s="54"/>
      <c r="G30" s="55">
        <v>12</v>
      </c>
      <c r="H30" s="56"/>
      <c r="I30" s="54">
        <v>290.5</v>
      </c>
      <c r="J30" s="57"/>
      <c r="K30" s="57"/>
      <c r="L30" s="53"/>
      <c r="M30" s="54"/>
      <c r="N30" s="54"/>
      <c r="O30" s="54"/>
      <c r="P30" s="57"/>
      <c r="Q30" s="53"/>
      <c r="R30" s="54"/>
      <c r="S30" s="54"/>
      <c r="T30" s="54"/>
      <c r="U30" s="54"/>
      <c r="V30" s="103">
        <v>9</v>
      </c>
      <c r="W30" s="59">
        <v>364</v>
      </c>
      <c r="X30" s="59"/>
      <c r="Y30" s="59"/>
      <c r="Z30" s="58"/>
      <c r="AA30" s="59"/>
      <c r="AB30" s="59"/>
      <c r="AE30" s="77"/>
    </row>
    <row r="31" spans="1:32" ht="15.75" customHeight="1" x14ac:dyDescent="0.35">
      <c r="A31" s="52">
        <v>45871</v>
      </c>
      <c r="B31" s="53">
        <v>12</v>
      </c>
      <c r="C31" s="54"/>
      <c r="D31" s="54">
        <v>415</v>
      </c>
      <c r="E31" s="54"/>
      <c r="F31" s="54"/>
      <c r="G31" s="53"/>
      <c r="I31" s="54">
        <v>415</v>
      </c>
      <c r="J31" s="57"/>
      <c r="K31" s="57"/>
      <c r="L31" s="53"/>
      <c r="M31" s="54"/>
      <c r="N31" s="54"/>
      <c r="O31" s="54"/>
      <c r="P31" s="57"/>
      <c r="Q31" s="53"/>
      <c r="R31" s="54"/>
      <c r="S31" s="54"/>
      <c r="T31" s="54"/>
      <c r="U31" s="54"/>
      <c r="V31" s="103"/>
      <c r="W31" s="59"/>
      <c r="X31" s="59"/>
      <c r="Y31" s="59"/>
      <c r="Z31" s="58"/>
      <c r="AA31" s="59"/>
      <c r="AB31" s="59"/>
      <c r="AD31" s="101"/>
      <c r="AE31" s="77"/>
    </row>
    <row r="32" spans="1:32" ht="15.75" customHeight="1" x14ac:dyDescent="0.35">
      <c r="A32" s="52">
        <v>45872</v>
      </c>
      <c r="B32" s="53"/>
      <c r="C32" s="54"/>
      <c r="D32" s="54"/>
      <c r="E32" s="54"/>
      <c r="F32" s="57"/>
      <c r="G32" s="53"/>
      <c r="H32" s="61"/>
      <c r="I32" s="54"/>
      <c r="J32" s="57"/>
      <c r="K32" s="57"/>
      <c r="L32" s="53">
        <v>7.5</v>
      </c>
      <c r="M32" s="54"/>
      <c r="N32" s="54">
        <v>0</v>
      </c>
      <c r="O32" s="54"/>
      <c r="P32" s="57"/>
      <c r="Q32" s="53"/>
      <c r="R32" s="54"/>
      <c r="S32" s="54"/>
      <c r="T32" s="54"/>
      <c r="U32" s="54"/>
      <c r="V32" s="103">
        <v>9</v>
      </c>
      <c r="W32" s="59">
        <v>20</v>
      </c>
      <c r="X32" s="59"/>
      <c r="Y32" s="59"/>
      <c r="Z32" s="58"/>
      <c r="AA32" s="59"/>
      <c r="AB32" s="59"/>
      <c r="AE32" s="77"/>
    </row>
    <row r="33" spans="1:31" ht="15.75" customHeight="1" x14ac:dyDescent="0.35">
      <c r="A33" s="52">
        <v>45873</v>
      </c>
      <c r="B33" s="53"/>
      <c r="C33" s="54"/>
      <c r="D33" s="54"/>
      <c r="E33" s="54"/>
      <c r="F33" s="57"/>
      <c r="G33" s="62">
        <v>12</v>
      </c>
      <c r="H33" s="56"/>
      <c r="I33" s="63">
        <v>90</v>
      </c>
      <c r="J33" s="57"/>
      <c r="K33" s="57"/>
      <c r="L33" s="53"/>
      <c r="M33" s="54"/>
      <c r="N33" s="54"/>
      <c r="O33" s="54"/>
      <c r="P33" s="57"/>
      <c r="Q33" s="53"/>
      <c r="R33" s="54"/>
      <c r="S33" s="54"/>
      <c r="T33" s="54"/>
      <c r="U33" s="54"/>
      <c r="V33" s="75">
        <v>9</v>
      </c>
      <c r="W33" s="59">
        <v>0</v>
      </c>
      <c r="X33" s="59"/>
      <c r="Y33" s="59"/>
      <c r="Z33" s="75"/>
      <c r="AA33" s="59"/>
      <c r="AB33" s="59"/>
      <c r="AE33" s="77"/>
    </row>
    <row r="34" spans="1:31" ht="15.65" customHeight="1" x14ac:dyDescent="0.35">
      <c r="A34" s="52">
        <v>45874</v>
      </c>
      <c r="B34" s="53">
        <v>12</v>
      </c>
      <c r="C34" s="54"/>
      <c r="D34" s="54">
        <v>1302</v>
      </c>
      <c r="E34" s="54"/>
      <c r="F34" s="57"/>
      <c r="G34" s="53">
        <v>8.5</v>
      </c>
      <c r="H34" s="56">
        <v>0</v>
      </c>
      <c r="I34" s="54"/>
      <c r="J34" s="57"/>
      <c r="K34" s="57"/>
      <c r="L34" s="53"/>
      <c r="M34" s="54"/>
      <c r="Q34" s="53"/>
      <c r="R34" s="54"/>
      <c r="V34" s="103"/>
      <c r="W34" s="59"/>
      <c r="Z34" s="75"/>
      <c r="AE34" s="77"/>
    </row>
    <row r="35" spans="1:31" ht="15.75" customHeight="1" x14ac:dyDescent="0.35">
      <c r="A35" s="52">
        <v>45875</v>
      </c>
      <c r="B35" s="53"/>
      <c r="C35" s="54"/>
      <c r="D35" s="54"/>
      <c r="E35" s="54"/>
      <c r="F35" s="57"/>
      <c r="G35" s="53">
        <v>9</v>
      </c>
      <c r="H35" s="56"/>
      <c r="I35" s="54">
        <v>0</v>
      </c>
      <c r="J35" s="57"/>
      <c r="K35" s="57"/>
      <c r="L35" s="53">
        <v>8</v>
      </c>
      <c r="M35" s="54">
        <v>0</v>
      </c>
      <c r="N35" s="54"/>
      <c r="Q35" s="53"/>
      <c r="R35" s="54"/>
      <c r="S35" s="61">
        <v>106</v>
      </c>
      <c r="V35" s="103"/>
      <c r="W35" s="59"/>
      <c r="Z35" s="75"/>
      <c r="AE35" s="77"/>
    </row>
    <row r="36" spans="1:31" x14ac:dyDescent="0.35">
      <c r="A36" s="52">
        <v>45876</v>
      </c>
      <c r="B36" s="53">
        <v>6</v>
      </c>
      <c r="C36" s="54"/>
      <c r="D36" s="54">
        <v>306</v>
      </c>
      <c r="E36" s="54"/>
      <c r="F36" s="57"/>
      <c r="G36" s="53">
        <v>4</v>
      </c>
      <c r="H36" s="56">
        <v>0</v>
      </c>
      <c r="I36" s="54"/>
      <c r="J36" s="57"/>
      <c r="K36" s="57"/>
      <c r="L36" s="53">
        <v>6</v>
      </c>
      <c r="M36" s="54"/>
      <c r="N36" s="64">
        <v>116</v>
      </c>
      <c r="Q36" s="53"/>
      <c r="R36" s="54"/>
      <c r="S36" s="64"/>
      <c r="V36" s="103">
        <v>10</v>
      </c>
      <c r="W36" s="54">
        <v>0</v>
      </c>
      <c r="Z36" s="75"/>
      <c r="AA36" s="54"/>
      <c r="AE36" s="77"/>
    </row>
    <row r="37" spans="1:31" ht="15.65" customHeight="1" x14ac:dyDescent="0.35">
      <c r="A37" s="52">
        <v>45877</v>
      </c>
      <c r="B37" s="53"/>
      <c r="C37" s="54"/>
      <c r="D37" s="54">
        <v>588</v>
      </c>
      <c r="E37" s="54"/>
      <c r="F37" s="57"/>
      <c r="G37" s="53">
        <v>12</v>
      </c>
      <c r="H37" s="56"/>
      <c r="I37" s="54">
        <v>588</v>
      </c>
      <c r="J37" s="57"/>
      <c r="K37" s="57"/>
      <c r="L37" s="53"/>
      <c r="M37" s="64"/>
      <c r="Q37" s="53"/>
      <c r="R37" s="64"/>
      <c r="V37" s="75">
        <v>9.5</v>
      </c>
      <c r="W37" s="54">
        <v>0</v>
      </c>
      <c r="Z37" s="75"/>
      <c r="AE37" s="77"/>
    </row>
    <row r="38" spans="1:31" ht="15.75" customHeight="1" x14ac:dyDescent="0.35">
      <c r="A38" s="52">
        <v>45878</v>
      </c>
      <c r="B38" s="53">
        <v>12</v>
      </c>
      <c r="C38" s="54"/>
      <c r="D38" s="54">
        <v>196.5</v>
      </c>
      <c r="E38" s="54"/>
      <c r="F38" s="57"/>
      <c r="G38" s="53"/>
      <c r="H38" s="56"/>
      <c r="I38" s="54">
        <v>196.5</v>
      </c>
      <c r="K38" s="57"/>
      <c r="L38" s="53"/>
      <c r="M38" s="54"/>
      <c r="Q38" s="53"/>
      <c r="R38" s="54"/>
      <c r="S38" s="54"/>
      <c r="V38" s="75">
        <v>9.5</v>
      </c>
      <c r="W38" s="59">
        <v>143</v>
      </c>
      <c r="Z38" s="75"/>
      <c r="AE38" s="77"/>
    </row>
    <row r="39" spans="1:31" ht="15" customHeight="1" x14ac:dyDescent="0.35">
      <c r="A39" s="52">
        <v>45879</v>
      </c>
      <c r="B39" s="53"/>
      <c r="C39" s="54"/>
      <c r="D39" s="54"/>
      <c r="E39" s="54"/>
      <c r="F39" s="57"/>
      <c r="G39" s="53"/>
      <c r="H39" s="56"/>
      <c r="I39" s="54"/>
      <c r="J39" s="57"/>
      <c r="K39" s="57"/>
      <c r="L39" s="53">
        <v>11.5</v>
      </c>
      <c r="M39" s="54">
        <v>196</v>
      </c>
      <c r="N39" s="64"/>
      <c r="Q39" s="53"/>
      <c r="R39" s="54"/>
      <c r="S39" s="64">
        <v>920</v>
      </c>
      <c r="V39" s="103"/>
      <c r="W39" s="54"/>
      <c r="Z39" s="75"/>
      <c r="AE39" s="77"/>
    </row>
    <row r="40" spans="1:31" ht="15.75" customHeight="1" x14ac:dyDescent="0.35">
      <c r="A40" s="52">
        <v>45880</v>
      </c>
      <c r="B40" s="53"/>
      <c r="C40" s="54"/>
      <c r="D40" s="54"/>
      <c r="E40" s="54"/>
      <c r="F40" s="57"/>
      <c r="G40" s="53">
        <v>9.5</v>
      </c>
      <c r="H40" s="56"/>
      <c r="I40" s="54">
        <v>240</v>
      </c>
      <c r="J40" s="57"/>
      <c r="K40" s="57"/>
      <c r="L40" s="53"/>
      <c r="M40" s="54"/>
      <c r="N40" s="64"/>
      <c r="Q40" s="53"/>
      <c r="R40" s="54"/>
      <c r="S40" s="64"/>
      <c r="V40" s="103">
        <v>9</v>
      </c>
      <c r="W40" s="59">
        <v>442</v>
      </c>
      <c r="X40" s="54">
        <v>290</v>
      </c>
      <c r="Z40" s="75"/>
      <c r="AE40" s="77"/>
    </row>
    <row r="41" spans="1:31" ht="15.75" customHeight="1" x14ac:dyDescent="0.35">
      <c r="A41" s="52">
        <v>45881</v>
      </c>
      <c r="B41" s="53">
        <v>12</v>
      </c>
      <c r="C41" s="54"/>
      <c r="D41" s="54">
        <v>343</v>
      </c>
      <c r="E41" s="54"/>
      <c r="F41" s="57"/>
      <c r="G41" s="53">
        <v>8.5</v>
      </c>
      <c r="H41" s="56">
        <v>321</v>
      </c>
      <c r="I41" s="54"/>
      <c r="J41" s="57"/>
      <c r="K41" s="57"/>
      <c r="L41" s="53"/>
      <c r="M41" s="54"/>
      <c r="N41" s="54"/>
      <c r="Q41" s="53"/>
      <c r="R41" s="54"/>
      <c r="S41" s="54"/>
      <c r="V41" s="103"/>
      <c r="W41" s="54"/>
      <c r="AE41" s="77"/>
    </row>
    <row r="42" spans="1:31" ht="15.75" customHeight="1" x14ac:dyDescent="0.35">
      <c r="A42" s="52">
        <v>45882</v>
      </c>
      <c r="B42" s="53"/>
      <c r="C42" s="54"/>
      <c r="D42" s="54"/>
      <c r="E42" s="54"/>
      <c r="F42" s="57"/>
      <c r="G42" s="53">
        <v>7</v>
      </c>
      <c r="H42" s="56"/>
      <c r="I42" s="54">
        <v>0</v>
      </c>
      <c r="J42" s="57"/>
      <c r="K42" s="57"/>
      <c r="L42" s="53">
        <v>5.5</v>
      </c>
      <c r="M42" s="54">
        <v>0</v>
      </c>
      <c r="N42" s="64"/>
      <c r="Q42" s="53"/>
      <c r="R42" s="54"/>
      <c r="S42" s="54"/>
      <c r="V42" s="75">
        <v>5</v>
      </c>
      <c r="W42" s="54">
        <v>0</v>
      </c>
      <c r="Z42" s="75"/>
      <c r="AE42" s="77"/>
    </row>
    <row r="43" spans="1:31" ht="15.65" customHeight="1" x14ac:dyDescent="0.35">
      <c r="A43" s="52">
        <v>45883</v>
      </c>
      <c r="B43" s="53">
        <v>6</v>
      </c>
      <c r="C43" s="54"/>
      <c r="D43" s="54">
        <v>0</v>
      </c>
      <c r="E43" s="54"/>
      <c r="F43" s="57"/>
      <c r="G43" s="53"/>
      <c r="H43" s="56"/>
      <c r="I43" s="54"/>
      <c r="J43" s="54"/>
      <c r="K43" s="57"/>
      <c r="L43" s="53">
        <v>6</v>
      </c>
      <c r="M43" s="54"/>
      <c r="N43" s="64">
        <v>642</v>
      </c>
      <c r="Q43" s="53"/>
      <c r="R43" s="54"/>
      <c r="V43" s="75">
        <v>10</v>
      </c>
      <c r="W43" s="59">
        <v>100</v>
      </c>
      <c r="Z43" s="75"/>
      <c r="AE43" s="77"/>
    </row>
    <row r="44" spans="1:31" ht="15.65" customHeight="1" x14ac:dyDescent="0.35">
      <c r="A44" s="52">
        <v>45884</v>
      </c>
      <c r="B44" s="53">
        <v>12</v>
      </c>
      <c r="C44" s="54"/>
      <c r="D44" s="54">
        <v>128</v>
      </c>
      <c r="E44" s="54"/>
      <c r="F44" s="57"/>
      <c r="G44" s="53"/>
      <c r="H44" s="56"/>
      <c r="I44" s="54">
        <v>128</v>
      </c>
      <c r="J44" s="57"/>
      <c r="K44" s="57"/>
      <c r="L44" s="53"/>
      <c r="M44" s="54"/>
      <c r="Q44" s="53"/>
      <c r="R44" s="54"/>
      <c r="S44" s="54"/>
      <c r="V44" s="104"/>
      <c r="AE44" s="77"/>
    </row>
    <row r="45" spans="1:31" ht="15.65" customHeight="1" x14ac:dyDescent="0.35">
      <c r="A45" s="52">
        <v>45885</v>
      </c>
      <c r="B45" s="53"/>
      <c r="C45" s="54"/>
      <c r="D45" s="54">
        <v>104</v>
      </c>
      <c r="E45" s="54"/>
      <c r="F45" s="57"/>
      <c r="G45" s="53">
        <v>11.5</v>
      </c>
      <c r="H45" s="56"/>
      <c r="I45" s="54">
        <v>104</v>
      </c>
      <c r="J45" s="57"/>
      <c r="K45" s="57"/>
      <c r="L45" s="53">
        <v>5.5</v>
      </c>
      <c r="M45" s="54">
        <v>952</v>
      </c>
      <c r="O45" s="54">
        <v>870</v>
      </c>
      <c r="Q45" s="53"/>
      <c r="R45" s="54">
        <v>1478</v>
      </c>
      <c r="S45" s="54"/>
      <c r="T45" s="54">
        <v>685</v>
      </c>
      <c r="V45" s="104"/>
      <c r="AE45" s="77"/>
    </row>
    <row r="46" spans="1:31" ht="15.65" customHeight="1" x14ac:dyDescent="0.35">
      <c r="A46" s="52">
        <v>45886</v>
      </c>
      <c r="B46" s="53"/>
      <c r="C46" s="54"/>
      <c r="D46" s="54"/>
      <c r="E46" s="54"/>
      <c r="F46" s="57"/>
      <c r="G46" s="65">
        <v>6</v>
      </c>
      <c r="H46" s="56"/>
      <c r="I46" s="54">
        <v>377</v>
      </c>
      <c r="J46" s="57"/>
      <c r="K46" s="57"/>
      <c r="L46" s="53">
        <v>11</v>
      </c>
      <c r="M46" s="54">
        <v>378</v>
      </c>
      <c r="N46" s="54">
        <v>330</v>
      </c>
      <c r="Q46" s="53"/>
      <c r="R46" s="54"/>
      <c r="S46" s="54"/>
      <c r="V46" s="104"/>
      <c r="Z46" s="75"/>
      <c r="AA46" s="54"/>
      <c r="AE46" s="77"/>
    </row>
    <row r="47" spans="1:31" ht="15.75" customHeight="1" x14ac:dyDescent="0.35">
      <c r="A47" s="52">
        <v>45887</v>
      </c>
      <c r="B47" s="53"/>
      <c r="C47" s="54"/>
      <c r="D47" s="54"/>
      <c r="E47" s="54"/>
      <c r="F47" s="57"/>
      <c r="G47" s="65">
        <v>9</v>
      </c>
      <c r="H47" s="56"/>
      <c r="I47" s="54">
        <v>0</v>
      </c>
      <c r="J47" s="57"/>
      <c r="K47" s="57"/>
      <c r="L47" s="53"/>
      <c r="M47" s="54"/>
      <c r="Q47" s="53"/>
      <c r="R47" s="54"/>
      <c r="S47" s="54"/>
      <c r="V47" s="75">
        <v>9.5</v>
      </c>
      <c r="W47" s="54">
        <v>0</v>
      </c>
      <c r="Z47" s="75"/>
      <c r="AA47" s="54"/>
      <c r="AE47" s="77"/>
    </row>
    <row r="48" spans="1:31" ht="15.75" customHeight="1" x14ac:dyDescent="0.35">
      <c r="A48" s="52">
        <v>45888</v>
      </c>
      <c r="B48" s="53">
        <v>12</v>
      </c>
      <c r="C48" s="54"/>
      <c r="D48" s="54">
        <v>539</v>
      </c>
      <c r="E48" s="54"/>
      <c r="F48" s="57"/>
      <c r="G48" s="53">
        <v>9</v>
      </c>
      <c r="H48" s="56">
        <v>1125</v>
      </c>
      <c r="I48" s="54"/>
      <c r="J48" s="54"/>
      <c r="K48" s="57"/>
      <c r="L48" s="65"/>
      <c r="M48" s="54"/>
      <c r="Q48" s="65"/>
      <c r="R48" s="54"/>
      <c r="V48" s="103"/>
      <c r="W48" s="54"/>
      <c r="Z48" s="75"/>
      <c r="AA48" s="54"/>
      <c r="AE48" s="77"/>
    </row>
    <row r="49" spans="1:31" ht="15.65" customHeight="1" x14ac:dyDescent="0.35">
      <c r="A49" s="52">
        <v>45889</v>
      </c>
      <c r="B49" s="53"/>
      <c r="C49" s="54"/>
      <c r="E49" s="54"/>
      <c r="F49" s="57"/>
      <c r="G49" s="53">
        <v>8.5</v>
      </c>
      <c r="H49" s="56"/>
      <c r="I49" s="54">
        <v>320</v>
      </c>
      <c r="J49" s="57"/>
      <c r="K49" s="57"/>
      <c r="L49" s="53"/>
      <c r="M49" s="54"/>
      <c r="N49" s="64"/>
      <c r="S49" s="64">
        <v>500</v>
      </c>
      <c r="V49" s="66">
        <v>9.5</v>
      </c>
      <c r="W49" s="54">
        <v>768</v>
      </c>
      <c r="Z49" s="75"/>
      <c r="AE49" s="77"/>
    </row>
    <row r="50" spans="1:31" ht="15.75" customHeight="1" x14ac:dyDescent="0.35">
      <c r="A50" s="52">
        <v>45890</v>
      </c>
      <c r="B50" s="53"/>
      <c r="C50" s="54"/>
      <c r="D50" s="54"/>
      <c r="E50" s="54"/>
      <c r="F50" s="57"/>
      <c r="G50" s="53"/>
      <c r="H50" s="56"/>
      <c r="I50" s="54"/>
      <c r="J50" s="57"/>
      <c r="K50" s="57"/>
      <c r="L50" s="53">
        <v>6.5</v>
      </c>
      <c r="M50" s="54"/>
      <c r="N50" s="54">
        <v>400</v>
      </c>
      <c r="S50" s="54">
        <v>564</v>
      </c>
      <c r="V50" s="66">
        <v>10</v>
      </c>
      <c r="W50" s="54">
        <v>0</v>
      </c>
      <c r="AE50" s="77"/>
    </row>
    <row r="51" spans="1:31" ht="17.5" customHeight="1" x14ac:dyDescent="0.35">
      <c r="A51" s="52">
        <v>45891</v>
      </c>
      <c r="B51" s="53"/>
      <c r="C51" s="54"/>
      <c r="D51" s="54">
        <v>112</v>
      </c>
      <c r="E51" s="54"/>
      <c r="F51" s="57"/>
      <c r="G51" s="53">
        <v>12</v>
      </c>
      <c r="H51" s="56"/>
      <c r="I51" s="54">
        <v>112</v>
      </c>
      <c r="J51" s="54"/>
      <c r="K51" s="57"/>
      <c r="L51" s="53"/>
      <c r="M51" s="54"/>
      <c r="N51" s="54"/>
      <c r="O51" s="54"/>
      <c r="S51" s="54"/>
      <c r="T51" s="54"/>
      <c r="U51" s="54"/>
      <c r="V51" s="66">
        <v>8</v>
      </c>
      <c r="X51" s="54">
        <v>290</v>
      </c>
      <c r="AE51" s="77"/>
    </row>
    <row r="52" spans="1:31" ht="15.75" customHeight="1" x14ac:dyDescent="0.35">
      <c r="A52" s="52">
        <v>45892</v>
      </c>
      <c r="B52" s="53">
        <v>12</v>
      </c>
      <c r="C52" s="54"/>
      <c r="D52" s="54">
        <v>534</v>
      </c>
      <c r="E52" s="54"/>
      <c r="F52" s="57"/>
      <c r="G52" s="65"/>
      <c r="H52" s="56"/>
      <c r="I52" s="54">
        <v>534</v>
      </c>
      <c r="J52" s="54"/>
      <c r="K52" s="57"/>
      <c r="L52" s="65"/>
      <c r="M52" s="54"/>
      <c r="R52" s="16">
        <v>430</v>
      </c>
      <c r="S52" s="54"/>
      <c r="V52" s="105"/>
      <c r="W52" s="54"/>
      <c r="AD52" s="102">
        <v>5</v>
      </c>
      <c r="AE52" s="77">
        <v>0</v>
      </c>
    </row>
    <row r="53" spans="1:31" ht="15.75" customHeight="1" x14ac:dyDescent="0.35">
      <c r="A53" s="52">
        <v>45893</v>
      </c>
      <c r="B53" s="53"/>
      <c r="C53" s="54"/>
      <c r="D53" s="54"/>
      <c r="E53" s="54"/>
      <c r="F53" s="57"/>
      <c r="G53" s="53">
        <v>5.5</v>
      </c>
      <c r="H53" s="56"/>
      <c r="I53" s="54">
        <v>0</v>
      </c>
      <c r="J53" s="57"/>
      <c r="K53" s="57"/>
      <c r="L53" s="53">
        <v>6</v>
      </c>
      <c r="M53" s="54"/>
      <c r="N53" s="54">
        <v>112</v>
      </c>
      <c r="O53" s="16"/>
      <c r="T53" s="16"/>
      <c r="U53" s="16"/>
      <c r="V53" s="66"/>
      <c r="W53" s="54"/>
      <c r="AD53" s="102">
        <v>9</v>
      </c>
      <c r="AE53" s="77">
        <v>620</v>
      </c>
    </row>
    <row r="54" spans="1:31" ht="15.75" customHeight="1" x14ac:dyDescent="0.35">
      <c r="A54" s="52">
        <v>45894</v>
      </c>
      <c r="B54" s="53"/>
      <c r="C54" s="54"/>
      <c r="D54" s="54"/>
      <c r="E54" s="54"/>
      <c r="F54" s="57"/>
      <c r="G54" s="65">
        <v>8.5</v>
      </c>
      <c r="H54" s="56"/>
      <c r="I54" s="54">
        <v>689</v>
      </c>
      <c r="J54" s="57"/>
      <c r="K54" s="57"/>
      <c r="L54" s="53">
        <v>5.5</v>
      </c>
      <c r="M54" s="54">
        <v>0</v>
      </c>
      <c r="N54" s="64"/>
      <c r="V54" s="66"/>
      <c r="W54" s="54"/>
      <c r="Z54" s="75"/>
      <c r="AD54" s="102"/>
      <c r="AE54" s="77"/>
    </row>
    <row r="55" spans="1:31" ht="15.75" customHeight="1" x14ac:dyDescent="0.35">
      <c r="A55" s="52">
        <v>45895</v>
      </c>
      <c r="B55" s="53">
        <v>12</v>
      </c>
      <c r="C55" s="54"/>
      <c r="D55" s="54">
        <v>0</v>
      </c>
      <c r="E55" s="54"/>
      <c r="F55" s="57"/>
      <c r="G55" s="53">
        <v>8</v>
      </c>
      <c r="H55" s="56">
        <v>330</v>
      </c>
      <c r="I55" s="54"/>
      <c r="J55" s="57">
        <v>360</v>
      </c>
      <c r="K55" s="57"/>
      <c r="L55" s="53"/>
      <c r="M55" s="54"/>
      <c r="S55" s="54"/>
      <c r="V55" s="66"/>
      <c r="W55" s="54"/>
      <c r="Z55" s="75"/>
      <c r="AD55" s="102"/>
      <c r="AE55" s="77"/>
    </row>
    <row r="56" spans="1:31" ht="15.75" customHeight="1" x14ac:dyDescent="0.35">
      <c r="A56" s="52">
        <v>45896</v>
      </c>
      <c r="B56" s="53"/>
      <c r="C56" s="54"/>
      <c r="D56" s="54"/>
      <c r="E56" s="54"/>
      <c r="F56" s="57"/>
      <c r="G56" s="53">
        <v>8</v>
      </c>
      <c r="H56" s="56"/>
      <c r="I56" s="54">
        <v>0</v>
      </c>
      <c r="J56" s="60"/>
      <c r="K56" s="57"/>
      <c r="L56" s="53">
        <v>9</v>
      </c>
      <c r="M56" s="54">
        <v>0</v>
      </c>
      <c r="N56" s="54"/>
      <c r="V56" s="66"/>
      <c r="W56" s="54"/>
      <c r="Z56" s="75"/>
      <c r="AD56" s="102"/>
      <c r="AE56" s="77"/>
    </row>
    <row r="57" spans="1:31" ht="15.75" customHeight="1" x14ac:dyDescent="0.35">
      <c r="A57" s="52">
        <v>45897</v>
      </c>
      <c r="B57" s="53"/>
      <c r="C57" s="54"/>
      <c r="D57" s="54"/>
      <c r="E57" s="54"/>
      <c r="F57" s="57"/>
      <c r="G57" s="53"/>
      <c r="H57" s="56"/>
      <c r="I57" s="54"/>
      <c r="J57" s="57"/>
      <c r="K57" s="57"/>
      <c r="L57" s="53">
        <v>10</v>
      </c>
      <c r="M57" s="54">
        <v>168</v>
      </c>
      <c r="N57" s="54">
        <v>0</v>
      </c>
      <c r="O57" s="54">
        <v>380</v>
      </c>
      <c r="V57" s="66"/>
      <c r="W57" s="54"/>
      <c r="Z57" s="75"/>
      <c r="AA57" s="54"/>
      <c r="AD57" s="102"/>
      <c r="AE57" s="77"/>
    </row>
    <row r="58" spans="1:31" ht="15.75" customHeight="1" x14ac:dyDescent="0.35">
      <c r="A58" s="52">
        <v>45898</v>
      </c>
      <c r="B58" s="53"/>
      <c r="C58" s="54"/>
      <c r="D58" s="54">
        <v>68</v>
      </c>
      <c r="E58" s="54"/>
      <c r="F58" s="57"/>
      <c r="G58" s="53">
        <v>12</v>
      </c>
      <c r="H58" s="56"/>
      <c r="I58" s="54">
        <v>68</v>
      </c>
      <c r="J58" s="57"/>
      <c r="K58" s="57"/>
      <c r="L58" s="66"/>
      <c r="M58" s="54"/>
      <c r="N58" s="54"/>
      <c r="S58" s="54"/>
      <c r="V58" s="66"/>
      <c r="W58" s="54"/>
      <c r="Z58" s="75"/>
      <c r="AD58" s="102"/>
      <c r="AE58" s="77"/>
    </row>
    <row r="59" spans="1:31" ht="15.75" customHeight="1" x14ac:dyDescent="0.35">
      <c r="A59" s="52">
        <v>45899</v>
      </c>
      <c r="B59" s="53">
        <v>12</v>
      </c>
      <c r="C59" s="54"/>
      <c r="D59" s="54">
        <v>279</v>
      </c>
      <c r="E59" s="54"/>
      <c r="F59" s="57"/>
      <c r="G59" s="53"/>
      <c r="H59" s="56"/>
      <c r="I59" s="54">
        <v>279</v>
      </c>
      <c r="J59" s="57"/>
      <c r="K59" s="57"/>
      <c r="L59" s="66"/>
      <c r="M59" s="54"/>
      <c r="V59" s="66"/>
      <c r="W59" s="54"/>
      <c r="Z59" s="75"/>
      <c r="AA59" s="54"/>
      <c r="AD59" s="102">
        <v>9</v>
      </c>
      <c r="AE59" s="77">
        <v>520</v>
      </c>
    </row>
    <row r="60" spans="1:31" ht="15.75" customHeight="1" x14ac:dyDescent="0.35">
      <c r="A60" s="52">
        <v>45900</v>
      </c>
      <c r="B60" s="53"/>
      <c r="C60" s="54"/>
      <c r="D60" s="54"/>
      <c r="E60" s="54"/>
      <c r="F60" s="57"/>
      <c r="G60" s="53"/>
      <c r="H60" s="56"/>
      <c r="I60" s="54"/>
      <c r="J60" s="57"/>
      <c r="K60" s="57"/>
      <c r="L60" s="66">
        <v>6</v>
      </c>
      <c r="M60" s="54"/>
      <c r="N60" s="54">
        <v>0</v>
      </c>
      <c r="Q60" s="66"/>
      <c r="R60" s="54"/>
      <c r="S60" s="54"/>
      <c r="V60" s="75"/>
      <c r="W60" s="54"/>
      <c r="Z60" s="75">
        <v>6.5</v>
      </c>
      <c r="AA60" s="77">
        <v>104</v>
      </c>
      <c r="AD60" s="102">
        <v>4</v>
      </c>
      <c r="AE60" s="77">
        <v>0</v>
      </c>
    </row>
    <row r="61" spans="1:31" x14ac:dyDescent="0.35">
      <c r="AE61" s="7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AAB1-A56B-4B65-9FD4-7405D7F93473}">
  <dimension ref="A1:AF61"/>
  <sheetViews>
    <sheetView zoomScaleNormal="100" zoomScaleSheetLayoutView="100" workbookViewId="0">
      <selection sqref="A1:XFD1048576"/>
    </sheetView>
  </sheetViews>
  <sheetFormatPr defaultRowHeight="14.5" x14ac:dyDescent="0.35"/>
  <cols>
    <col min="1" max="1" width="26" customWidth="1"/>
    <col min="2" max="2" width="13" customWidth="1"/>
    <col min="3" max="3" width="9.81640625" customWidth="1"/>
    <col min="4" max="4" width="10.1796875" customWidth="1"/>
    <col min="5" max="5" width="12.54296875" customWidth="1"/>
    <col min="6" max="6" width="2.453125" customWidth="1"/>
    <col min="7" max="7" width="10.3632812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63281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8" width="10.1796875" customWidth="1"/>
    <col min="19" max="19" width="12.54296875" customWidth="1"/>
    <col min="20" max="20" width="8.08984375" customWidth="1"/>
    <col min="21" max="21" width="8.6328125" customWidth="1"/>
    <col min="22" max="22" width="9.90625" style="7" hidden="1" customWidth="1"/>
    <col min="23" max="23" width="11.1796875" style="7" hidden="1" customWidth="1"/>
    <col min="24" max="24" width="8.36328125" style="7" hidden="1" customWidth="1"/>
    <col min="25" max="25" width="2.453125" style="7" hidden="1" customWidth="1"/>
    <col min="26" max="26" width="11.26953125" style="7" hidden="1" customWidth="1"/>
    <col min="27" max="27" width="11.54296875" style="7" hidden="1" customWidth="1"/>
    <col min="28" max="28" width="10.1796875" style="7" hidden="1" customWidth="1"/>
    <col min="29" max="29" width="2.7265625" customWidth="1"/>
    <col min="30" max="30" width="10.08984375" style="98" customWidth="1"/>
    <col min="31" max="31" width="12.6328125" style="94" bestFit="1" customWidth="1"/>
    <col min="32" max="32" width="10.36328125" customWidth="1"/>
  </cols>
  <sheetData>
    <row r="1" spans="1:32" ht="17.5" x14ac:dyDescent="0.35">
      <c r="A1" s="106" t="s">
        <v>52</v>
      </c>
      <c r="C1" s="2"/>
      <c r="D1" s="2"/>
      <c r="E1" s="107" t="s">
        <v>0</v>
      </c>
      <c r="L1" s="108"/>
      <c r="M1" s="109"/>
      <c r="N1" s="109"/>
      <c r="Q1" s="108"/>
      <c r="R1" s="109"/>
      <c r="S1" s="109"/>
    </row>
    <row r="2" spans="1:32" x14ac:dyDescent="0.35">
      <c r="A2" s="107"/>
      <c r="B2" s="9"/>
      <c r="C2" s="2"/>
      <c r="D2" s="2"/>
      <c r="L2" s="108"/>
      <c r="M2" s="109"/>
      <c r="N2" s="109"/>
      <c r="Q2" s="108"/>
      <c r="R2" s="109"/>
      <c r="S2" s="109"/>
    </row>
    <row r="3" spans="1:32" x14ac:dyDescent="0.35">
      <c r="A3" s="107"/>
      <c r="B3" s="10"/>
      <c r="C3" s="2"/>
      <c r="D3" s="2"/>
      <c r="L3" s="108"/>
      <c r="M3" s="109"/>
      <c r="N3" s="109"/>
      <c r="Q3" s="108"/>
      <c r="R3" s="109"/>
      <c r="S3" s="109"/>
    </row>
    <row r="4" spans="1:32" x14ac:dyDescent="0.35">
      <c r="A4" s="107" t="s">
        <v>1</v>
      </c>
      <c r="B4" s="110">
        <f>B14+G14+L14+V14+Z14</f>
        <v>426.5</v>
      </c>
      <c r="C4" s="2"/>
      <c r="D4" s="2"/>
      <c r="L4" s="108"/>
      <c r="M4" s="109"/>
      <c r="N4" s="109"/>
      <c r="Q4" s="108"/>
      <c r="R4" s="109"/>
      <c r="S4" s="109"/>
    </row>
    <row r="5" spans="1:32" x14ac:dyDescent="0.35">
      <c r="A5" s="107" t="s">
        <v>40</v>
      </c>
      <c r="B5" s="111">
        <f>B15+G15+H4615+L15+Q15+V15+Z15+AD15</f>
        <v>5336</v>
      </c>
      <c r="C5" s="2"/>
      <c r="D5" s="2"/>
      <c r="L5" s="108"/>
      <c r="M5" s="109"/>
      <c r="N5" s="109"/>
      <c r="Q5" s="108"/>
      <c r="R5" s="109"/>
      <c r="S5" s="109"/>
    </row>
    <row r="6" spans="1:32" x14ac:dyDescent="0.35">
      <c r="A6" s="107" t="s">
        <v>41</v>
      </c>
      <c r="B6" s="112">
        <f>B16+G16+L16+Q16</f>
        <v>11150</v>
      </c>
      <c r="C6" s="2"/>
      <c r="D6" s="2"/>
      <c r="L6" s="108"/>
      <c r="M6" s="109"/>
      <c r="N6" s="109"/>
      <c r="Q6" s="108"/>
      <c r="R6" s="109"/>
      <c r="S6" s="109"/>
    </row>
    <row r="7" spans="1:32" x14ac:dyDescent="0.35">
      <c r="A7" s="107" t="s">
        <v>4</v>
      </c>
      <c r="B7" s="113">
        <f>B5+B6+C7</f>
        <v>16486</v>
      </c>
      <c r="C7" s="15">
        <f>C17+H17+M17+W18+AB17</f>
        <v>0</v>
      </c>
      <c r="D7" s="15"/>
      <c r="E7" s="16"/>
      <c r="L7" s="108"/>
      <c r="M7" s="109"/>
      <c r="N7" s="109"/>
      <c r="Q7" s="108"/>
      <c r="R7" s="109"/>
      <c r="S7" s="109"/>
    </row>
    <row r="8" spans="1:32" x14ac:dyDescent="0.35">
      <c r="A8" s="107" t="s">
        <v>5</v>
      </c>
      <c r="B8" s="113">
        <f>B22+G22+L22+V22</f>
        <v>6424.6</v>
      </c>
      <c r="C8" s="2"/>
      <c r="D8" s="2"/>
      <c r="L8" s="108"/>
      <c r="M8" s="109"/>
      <c r="N8" s="109"/>
      <c r="Q8" s="108"/>
      <c r="R8" s="109"/>
      <c r="S8" s="109"/>
    </row>
    <row r="9" spans="1:32" x14ac:dyDescent="0.35">
      <c r="A9" s="107"/>
      <c r="B9" s="114"/>
      <c r="L9" s="108"/>
      <c r="M9" s="109"/>
      <c r="N9" s="109"/>
      <c r="Q9" s="108"/>
      <c r="R9" s="109"/>
      <c r="S9" s="109"/>
    </row>
    <row r="10" spans="1:32" x14ac:dyDescent="0.35">
      <c r="A10" s="107" t="s">
        <v>6</v>
      </c>
      <c r="B10" s="113">
        <f>B8+B23+L26</f>
        <v>6624.6</v>
      </c>
      <c r="C10" s="2"/>
      <c r="D10" s="2"/>
      <c r="L10" s="108"/>
      <c r="M10" s="109"/>
      <c r="N10" s="109"/>
      <c r="Q10" s="108"/>
      <c r="R10" s="109"/>
      <c r="S10" s="109"/>
    </row>
    <row r="11" spans="1:32" x14ac:dyDescent="0.35">
      <c r="B11" s="115"/>
      <c r="C11" s="2"/>
      <c r="D11" s="2"/>
      <c r="G11" s="115"/>
      <c r="L11" s="108"/>
      <c r="M11" s="109"/>
      <c r="N11" s="109"/>
      <c r="Q11" s="108"/>
      <c r="R11" s="109"/>
      <c r="S11" s="109"/>
      <c r="V11" s="116"/>
      <c r="Z11" s="116"/>
    </row>
    <row r="12" spans="1:32" x14ac:dyDescent="0.35">
      <c r="B12" s="115" t="s">
        <v>7</v>
      </c>
      <c r="C12" s="2"/>
      <c r="D12" s="2"/>
      <c r="G12" s="115" t="s">
        <v>8</v>
      </c>
      <c r="H12" s="117"/>
      <c r="I12" s="108"/>
      <c r="J12" s="108"/>
      <c r="L12" s="115" t="s">
        <v>9</v>
      </c>
      <c r="M12" s="109"/>
      <c r="N12" s="109"/>
      <c r="Q12" s="115" t="s">
        <v>11</v>
      </c>
      <c r="R12" s="109"/>
      <c r="S12" s="109"/>
      <c r="V12" s="115" t="s">
        <v>33</v>
      </c>
      <c r="Z12" s="115" t="s">
        <v>49</v>
      </c>
      <c r="AD12" s="118" t="s">
        <v>48</v>
      </c>
      <c r="AE12" s="95"/>
      <c r="AF12" s="7"/>
    </row>
    <row r="13" spans="1:32" x14ac:dyDescent="0.35">
      <c r="B13" s="115"/>
      <c r="C13" s="2"/>
      <c r="D13" s="2"/>
      <c r="G13" s="115"/>
      <c r="H13" s="117"/>
      <c r="I13" s="108"/>
      <c r="J13" s="108"/>
      <c r="L13" s="115"/>
      <c r="M13" s="109"/>
      <c r="N13" s="109"/>
      <c r="Q13" s="115"/>
      <c r="R13" s="109"/>
      <c r="S13" s="109"/>
      <c r="V13" s="115"/>
      <c r="Z13" s="115" t="s">
        <v>50</v>
      </c>
      <c r="AD13" s="118" t="s">
        <v>51</v>
      </c>
      <c r="AE13" s="95"/>
      <c r="AF13" s="7"/>
    </row>
    <row r="14" spans="1:32" x14ac:dyDescent="0.35">
      <c r="A14" s="115" t="s">
        <v>12</v>
      </c>
      <c r="B14" s="119">
        <f>SUM(B31:B62)</f>
        <v>176.5</v>
      </c>
      <c r="C14" s="2"/>
      <c r="D14" s="2"/>
      <c r="G14" s="120">
        <f>SUM(G30:G60)</f>
        <v>136.5</v>
      </c>
      <c r="H14" s="117"/>
      <c r="I14" s="108"/>
      <c r="J14" s="108"/>
      <c r="L14" s="120">
        <f>SUM(L30:L62)</f>
        <v>113.5</v>
      </c>
      <c r="M14" s="109"/>
      <c r="N14" s="109"/>
      <c r="Q14" s="120">
        <f>SUM(Q30:Q62)</f>
        <v>0</v>
      </c>
      <c r="R14" s="109"/>
      <c r="S14" s="109"/>
      <c r="V14" s="120">
        <f>SUM(V28:V60)</f>
        <v>0</v>
      </c>
      <c r="W14" s="117"/>
      <c r="X14" s="108"/>
      <c r="Y14" s="108"/>
      <c r="Z14" s="120">
        <f>SUM(Z28:Z60)</f>
        <v>0</v>
      </c>
      <c r="AA14" s="117"/>
      <c r="AB14" s="108"/>
      <c r="AD14" s="120">
        <f>SUM(AD28:AD60)</f>
        <v>44.5</v>
      </c>
      <c r="AE14" s="117"/>
      <c r="AF14" s="108"/>
    </row>
    <row r="15" spans="1:32" x14ac:dyDescent="0.35">
      <c r="A15" s="107" t="s">
        <v>40</v>
      </c>
      <c r="B15" s="121">
        <f>SUM(C30:C59)</f>
        <v>474.5</v>
      </c>
      <c r="C15" s="2"/>
      <c r="D15" s="2"/>
      <c r="G15" s="122">
        <f>SUM(H30:H60)</f>
        <v>1296.5</v>
      </c>
      <c r="H15" s="117"/>
      <c r="I15" s="108"/>
      <c r="J15" s="108"/>
      <c r="L15" s="122">
        <f>SUM(M30:M60)</f>
        <v>1742</v>
      </c>
      <c r="M15" s="109"/>
      <c r="N15" s="109"/>
      <c r="Q15" s="122">
        <f>SUM(R30:R60)</f>
        <v>210</v>
      </c>
      <c r="R15" s="109"/>
      <c r="S15" s="109"/>
      <c r="V15" s="123">
        <f>SUM(W30:W60)</f>
        <v>0</v>
      </c>
      <c r="W15" s="117"/>
      <c r="X15" s="108"/>
      <c r="Y15" s="108"/>
      <c r="Z15" s="122">
        <f>SUM(AA30:AA60)</f>
        <v>0</v>
      </c>
      <c r="AA15" s="117"/>
      <c r="AB15" s="108"/>
      <c r="AD15" s="122">
        <f>SUM(AE30:AE60)</f>
        <v>1613</v>
      </c>
      <c r="AE15" s="117"/>
      <c r="AF15" s="108"/>
    </row>
    <row r="16" spans="1:32" x14ac:dyDescent="0.35">
      <c r="A16" s="115" t="s">
        <v>41</v>
      </c>
      <c r="B16" s="122">
        <f>SUM(D30:D60)</f>
        <v>5878</v>
      </c>
      <c r="C16" s="2"/>
      <c r="D16" s="2"/>
      <c r="G16" s="122">
        <f>SUM(I30:I60)</f>
        <v>3828</v>
      </c>
      <c r="H16" s="117"/>
      <c r="I16" s="108"/>
      <c r="J16" s="108"/>
      <c r="L16" s="122">
        <f>SUM(N30:N60)</f>
        <v>1212</v>
      </c>
      <c r="M16" s="109"/>
      <c r="N16" s="109"/>
      <c r="Q16" s="122">
        <f>SUM(S30:S60)</f>
        <v>232</v>
      </c>
      <c r="R16" s="109"/>
      <c r="S16" s="109"/>
      <c r="V16" s="122"/>
      <c r="W16" s="117"/>
      <c r="X16" s="108"/>
      <c r="Y16" s="108"/>
      <c r="Z16" s="122"/>
      <c r="AA16" s="117"/>
      <c r="AB16" s="108"/>
      <c r="AD16" s="122"/>
      <c r="AE16" s="117"/>
      <c r="AF16" s="108"/>
    </row>
    <row r="17" spans="1:32" x14ac:dyDescent="0.35">
      <c r="A17" s="115" t="s">
        <v>13</v>
      </c>
      <c r="B17" s="122">
        <f>B15+B16</f>
        <v>6352.5</v>
      </c>
      <c r="C17" s="124">
        <f>SUM(E30:E61)</f>
        <v>0</v>
      </c>
      <c r="D17" s="125"/>
      <c r="E17" s="27"/>
      <c r="G17" s="122">
        <f>G15+G16+H17</f>
        <v>5124.5</v>
      </c>
      <c r="H17" s="124">
        <f>SUM(J30:J61)</f>
        <v>0</v>
      </c>
      <c r="I17" s="126"/>
      <c r="J17" s="30"/>
      <c r="L17" s="122">
        <f>L15+L16+M17</f>
        <v>2954</v>
      </c>
      <c r="M17" s="127">
        <f>SUM(O30:O60)</f>
        <v>0</v>
      </c>
      <c r="N17" s="125"/>
      <c r="O17" s="30"/>
      <c r="Q17" s="122">
        <f>Q15+Q16+R17</f>
        <v>442</v>
      </c>
      <c r="R17" s="127">
        <f>SUM(T30:T60)</f>
        <v>0</v>
      </c>
      <c r="S17" s="125"/>
      <c r="T17" s="30"/>
      <c r="U17" s="30"/>
      <c r="V17" s="122">
        <f>V15+V16</f>
        <v>0</v>
      </c>
      <c r="W17" s="127">
        <f>SUM(Y30:Y60)</f>
        <v>0</v>
      </c>
      <c r="X17" s="125"/>
      <c r="Y17" s="125"/>
      <c r="Z17" s="122">
        <f>Z15+Z16</f>
        <v>0</v>
      </c>
      <c r="AA17" s="127">
        <f>SUM(AC30:AC60)</f>
        <v>0</v>
      </c>
      <c r="AB17" s="125"/>
      <c r="AD17" s="122">
        <f>AD15+AD16</f>
        <v>1613</v>
      </c>
      <c r="AE17" s="128">
        <f>SUM(AG30:AG60)</f>
        <v>0</v>
      </c>
      <c r="AF17" s="125"/>
    </row>
    <row r="18" spans="1:32" x14ac:dyDescent="0.35">
      <c r="A18" s="108" t="s">
        <v>14</v>
      </c>
      <c r="B18" s="121">
        <v>12</v>
      </c>
      <c r="C18" s="2"/>
      <c r="D18" s="2"/>
      <c r="G18" s="122">
        <v>11</v>
      </c>
      <c r="H18" s="117"/>
      <c r="I18" s="108"/>
      <c r="J18" s="108"/>
      <c r="L18" s="122">
        <v>12</v>
      </c>
      <c r="M18" s="109"/>
      <c r="N18" s="109"/>
      <c r="Q18" s="122"/>
      <c r="R18" s="109"/>
      <c r="S18" s="109"/>
      <c r="V18" s="122">
        <v>10</v>
      </c>
      <c r="W18" s="117"/>
      <c r="X18" s="108"/>
      <c r="Y18" s="108"/>
      <c r="Z18" s="122">
        <v>10</v>
      </c>
      <c r="AA18" s="117"/>
      <c r="AB18" s="108"/>
      <c r="AD18" s="122">
        <v>10</v>
      </c>
      <c r="AE18" s="117"/>
      <c r="AF18" s="108"/>
    </row>
    <row r="19" spans="1:32" x14ac:dyDescent="0.35">
      <c r="A19" s="108" t="s">
        <v>15</v>
      </c>
      <c r="B19" s="129">
        <v>10</v>
      </c>
      <c r="C19" s="109">
        <v>10</v>
      </c>
      <c r="D19" s="109"/>
      <c r="G19" s="130">
        <v>10</v>
      </c>
      <c r="H19" s="117">
        <v>10</v>
      </c>
      <c r="I19" s="108"/>
      <c r="J19" s="108"/>
      <c r="L19" s="130">
        <v>10</v>
      </c>
      <c r="M19" s="109">
        <v>10</v>
      </c>
      <c r="N19" s="109"/>
      <c r="O19" s="108"/>
      <c r="Q19" s="130"/>
      <c r="R19" s="109"/>
      <c r="S19" s="109"/>
      <c r="T19" s="108"/>
      <c r="U19" s="108"/>
      <c r="V19" s="130">
        <v>10</v>
      </c>
      <c r="W19" s="117">
        <v>10</v>
      </c>
      <c r="X19" s="108"/>
      <c r="Y19" s="108"/>
      <c r="Z19" s="130">
        <v>10</v>
      </c>
      <c r="AA19" s="117">
        <v>10</v>
      </c>
      <c r="AB19" s="108"/>
      <c r="AD19" s="130">
        <v>10</v>
      </c>
      <c r="AE19" s="117">
        <v>10</v>
      </c>
      <c r="AF19" s="108"/>
    </row>
    <row r="20" spans="1:32" x14ac:dyDescent="0.35">
      <c r="A20" s="108" t="s">
        <v>16</v>
      </c>
      <c r="B20" s="121">
        <f>B18*B14</f>
        <v>2118</v>
      </c>
      <c r="D20" s="109"/>
      <c r="G20" s="122">
        <f>G18*G14</f>
        <v>1501.5</v>
      </c>
      <c r="H20" s="117"/>
      <c r="I20" s="108"/>
      <c r="J20" s="108"/>
      <c r="L20" s="122">
        <f>L18*L14</f>
        <v>1362</v>
      </c>
      <c r="M20" s="109"/>
      <c r="N20" s="109"/>
      <c r="O20" s="108"/>
      <c r="Q20" s="122"/>
      <c r="R20" s="109"/>
      <c r="S20" s="109"/>
      <c r="T20" s="108"/>
      <c r="U20" s="108"/>
      <c r="V20" s="122">
        <f>V18*V14</f>
        <v>0</v>
      </c>
      <c r="W20" s="117"/>
      <c r="X20" s="108"/>
      <c r="Y20" s="108"/>
      <c r="Z20" s="122">
        <f>Z18*Z14</f>
        <v>0</v>
      </c>
      <c r="AA20" s="117"/>
      <c r="AB20" s="108"/>
      <c r="AD20" s="122">
        <f>AD18*AD14</f>
        <v>445</v>
      </c>
      <c r="AE20" s="117"/>
      <c r="AF20" s="108"/>
    </row>
    <row r="21" spans="1:32" x14ac:dyDescent="0.35">
      <c r="A21" s="108" t="s">
        <v>17</v>
      </c>
      <c r="B21" s="122">
        <f>B17*(B19/100)+C21</f>
        <v>635.25</v>
      </c>
      <c r="C21" s="109"/>
      <c r="D21" s="109"/>
      <c r="E21" s="125" t="s">
        <v>18</v>
      </c>
      <c r="G21" s="122">
        <f>G17*(G19/100)</f>
        <v>512.45000000000005</v>
      </c>
      <c r="H21" s="126"/>
      <c r="I21" s="126"/>
      <c r="J21" s="125"/>
      <c r="L21" s="122">
        <f>L17*(L19/100)</f>
        <v>295.40000000000003</v>
      </c>
      <c r="M21" s="126"/>
      <c r="N21" s="109"/>
      <c r="O21" s="125"/>
      <c r="Q21" s="122"/>
      <c r="R21" s="126">
        <f>R17*(R19/100)</f>
        <v>0</v>
      </c>
      <c r="S21" s="109"/>
      <c r="T21" s="125"/>
      <c r="U21" s="125"/>
      <c r="V21" s="122">
        <f>V17*(V19/100)+W21</f>
        <v>0</v>
      </c>
      <c r="W21" s="126"/>
      <c r="X21" s="125"/>
      <c r="Y21" s="125"/>
      <c r="Z21" s="122">
        <f>Z17*(Z19/100)+AA21</f>
        <v>0</v>
      </c>
      <c r="AA21" s="126"/>
      <c r="AB21" s="125"/>
      <c r="AD21" s="122">
        <f>AD17*(AD19/100)+AE21</f>
        <v>161.30000000000001</v>
      </c>
      <c r="AE21" s="126"/>
      <c r="AF21" s="125"/>
    </row>
    <row r="22" spans="1:32" x14ac:dyDescent="0.35">
      <c r="A22" s="108" t="s">
        <v>19</v>
      </c>
      <c r="B22" s="121">
        <f>B20+B21</f>
        <v>2753.25</v>
      </c>
      <c r="C22" s="109"/>
      <c r="D22" s="109"/>
      <c r="G22" s="122">
        <f>G20+G21</f>
        <v>2013.95</v>
      </c>
      <c r="H22" s="117"/>
      <c r="I22" s="108"/>
      <c r="J22" s="108"/>
      <c r="L22" s="122">
        <f>L20+L21</f>
        <v>1657.4</v>
      </c>
      <c r="M22" s="109"/>
      <c r="N22" s="109"/>
      <c r="O22" s="108"/>
      <c r="Q22" s="122"/>
      <c r="R22" s="109"/>
      <c r="S22" s="109"/>
      <c r="T22" s="108"/>
      <c r="U22" s="108"/>
      <c r="V22" s="122">
        <f>V20+V21</f>
        <v>0</v>
      </c>
      <c r="W22" s="117"/>
      <c r="X22" s="108"/>
      <c r="Y22" s="108"/>
      <c r="Z22" s="122">
        <f>Z20+Z21</f>
        <v>0</v>
      </c>
      <c r="AA22" s="117"/>
      <c r="AB22" s="108"/>
      <c r="AD22" s="122">
        <f>AD20+AD21</f>
        <v>606.29999999999995</v>
      </c>
      <c r="AE22" s="117"/>
      <c r="AF22" s="108"/>
    </row>
    <row r="23" spans="1:32" x14ac:dyDescent="0.35">
      <c r="A23" s="131" t="s">
        <v>20</v>
      </c>
      <c r="B23" s="132"/>
      <c r="C23" s="109"/>
      <c r="D23" s="109"/>
      <c r="G23" s="121"/>
      <c r="H23" s="117"/>
      <c r="I23" s="108"/>
      <c r="J23" s="108"/>
      <c r="L23" s="121"/>
      <c r="M23" s="109"/>
      <c r="N23" s="109"/>
      <c r="O23" s="108"/>
      <c r="Q23" s="121"/>
      <c r="R23" s="109"/>
      <c r="S23" s="109"/>
      <c r="T23" s="108"/>
      <c r="U23" s="108"/>
      <c r="V23" s="121"/>
      <c r="W23" s="117"/>
      <c r="X23" s="108"/>
      <c r="Y23" s="108"/>
      <c r="Z23" s="121"/>
      <c r="AA23" s="117"/>
      <c r="AB23" s="108"/>
      <c r="AD23" s="122"/>
      <c r="AE23" s="117"/>
      <c r="AF23" s="108"/>
    </row>
    <row r="24" spans="1:32" x14ac:dyDescent="0.35">
      <c r="A24" s="131" t="s">
        <v>21</v>
      </c>
      <c r="B24" s="132"/>
      <c r="C24" s="109"/>
      <c r="D24" s="109"/>
      <c r="G24" s="121"/>
      <c r="H24" s="117"/>
      <c r="I24" s="108"/>
      <c r="J24" s="108"/>
      <c r="L24" s="121"/>
      <c r="M24" s="109"/>
      <c r="N24" s="109"/>
      <c r="O24" s="108"/>
      <c r="Q24" s="121"/>
      <c r="R24" s="109"/>
      <c r="S24" s="109"/>
      <c r="T24" s="108"/>
      <c r="U24" s="108"/>
      <c r="V24" s="121"/>
      <c r="W24" s="117"/>
      <c r="X24" s="108"/>
      <c r="Y24" s="108"/>
      <c r="Z24" s="121"/>
      <c r="AA24" s="117"/>
      <c r="AB24" s="108"/>
      <c r="AD24" s="122"/>
      <c r="AE24" s="117"/>
      <c r="AF24" s="108"/>
    </row>
    <row r="25" spans="1:32" x14ac:dyDescent="0.35">
      <c r="A25" s="131" t="s">
        <v>22</v>
      </c>
      <c r="B25" s="132"/>
      <c r="C25" s="109"/>
      <c r="D25" s="109"/>
      <c r="G25" s="121"/>
      <c r="H25" s="117"/>
      <c r="I25" s="108"/>
      <c r="J25" s="108"/>
      <c r="L25" s="121"/>
      <c r="M25" s="109"/>
      <c r="N25" s="109"/>
      <c r="O25" s="108"/>
      <c r="Q25" s="121"/>
      <c r="R25" s="109"/>
      <c r="S25" s="109"/>
      <c r="T25" s="108"/>
      <c r="U25" s="108"/>
      <c r="V25" s="121"/>
      <c r="W25" s="117"/>
      <c r="X25" s="108"/>
      <c r="Y25" s="108"/>
      <c r="Z25" s="121"/>
      <c r="AA25" s="117"/>
      <c r="AB25" s="108"/>
      <c r="AD25" s="122"/>
      <c r="AE25" s="117"/>
      <c r="AF25" s="108"/>
    </row>
    <row r="26" spans="1:32" x14ac:dyDescent="0.35">
      <c r="A26" s="108" t="s">
        <v>23</v>
      </c>
      <c r="B26" s="121"/>
      <c r="C26" s="109"/>
      <c r="D26" s="109"/>
      <c r="G26" s="121"/>
      <c r="H26" s="117"/>
      <c r="I26" s="108"/>
      <c r="J26" s="108"/>
      <c r="L26" s="133">
        <v>200</v>
      </c>
      <c r="M26" s="109"/>
      <c r="N26" s="109"/>
      <c r="O26" s="108"/>
      <c r="Q26" s="133"/>
      <c r="R26" s="109"/>
      <c r="S26" s="109"/>
      <c r="T26" s="108"/>
      <c r="U26" s="108"/>
      <c r="V26" s="121"/>
      <c r="W26" s="117"/>
      <c r="X26" s="108"/>
      <c r="Y26" s="108"/>
      <c r="Z26" s="121"/>
      <c r="AA26" s="117"/>
      <c r="AB26" s="108"/>
      <c r="AD26" s="122"/>
      <c r="AE26" s="117"/>
      <c r="AF26" s="108"/>
    </row>
    <row r="27" spans="1:32" x14ac:dyDescent="0.35">
      <c r="A27" s="108" t="s">
        <v>24</v>
      </c>
      <c r="B27" s="134">
        <f>B22-B24+B26</f>
        <v>2753.25</v>
      </c>
      <c r="C27" s="109"/>
      <c r="D27" s="109"/>
      <c r="G27" s="135">
        <f>G22-G25+G26</f>
        <v>2013.95</v>
      </c>
      <c r="H27" s="117"/>
      <c r="I27" s="108"/>
      <c r="J27" s="108"/>
      <c r="L27" s="135">
        <f>L22+L26</f>
        <v>1857.4</v>
      </c>
      <c r="O27" s="108"/>
      <c r="Q27" s="135"/>
      <c r="T27" s="108"/>
      <c r="U27" s="108"/>
      <c r="V27" s="135">
        <f>V22-V25+V26</f>
        <v>0</v>
      </c>
      <c r="W27" s="117"/>
      <c r="X27" s="108"/>
      <c r="Y27" s="108"/>
      <c r="Z27" s="135">
        <f>Z22-Z25+Z26</f>
        <v>0</v>
      </c>
      <c r="AA27" s="117"/>
      <c r="AB27" s="108"/>
      <c r="AD27" s="135">
        <f>AD22-AD25+AD26</f>
        <v>606.29999999999995</v>
      </c>
      <c r="AE27" s="117"/>
      <c r="AF27" s="108"/>
    </row>
    <row r="28" spans="1:32" x14ac:dyDescent="0.35">
      <c r="A28" s="108"/>
      <c r="B28" s="108"/>
      <c r="C28" s="109"/>
      <c r="D28" s="109"/>
      <c r="G28" s="108"/>
      <c r="H28" s="117"/>
      <c r="I28" s="108"/>
      <c r="J28" s="108"/>
      <c r="L28" s="108"/>
      <c r="M28" s="109"/>
      <c r="N28" s="109"/>
      <c r="O28" s="108"/>
      <c r="Q28" s="108"/>
      <c r="R28" s="109"/>
      <c r="S28" s="109"/>
      <c r="T28" s="108"/>
      <c r="U28" s="108"/>
      <c r="V28" s="136"/>
      <c r="W28" s="136"/>
      <c r="Z28" s="136"/>
      <c r="AA28" s="136"/>
    </row>
    <row r="29" spans="1:32" ht="36" customHeight="1" x14ac:dyDescent="0.35">
      <c r="A29" s="108" t="s">
        <v>25</v>
      </c>
      <c r="B29" s="137" t="s">
        <v>26</v>
      </c>
      <c r="C29" s="138" t="s">
        <v>27</v>
      </c>
      <c r="D29" s="139" t="s">
        <v>42</v>
      </c>
      <c r="E29" s="140" t="s">
        <v>29</v>
      </c>
      <c r="F29" s="141" t="s">
        <v>30</v>
      </c>
      <c r="G29" s="137" t="s">
        <v>26</v>
      </c>
      <c r="H29" s="138" t="s">
        <v>27</v>
      </c>
      <c r="I29" s="139" t="s">
        <v>42</v>
      </c>
      <c r="J29" s="140" t="s">
        <v>29</v>
      </c>
      <c r="L29" s="137" t="s">
        <v>26</v>
      </c>
      <c r="M29" s="142" t="s">
        <v>27</v>
      </c>
      <c r="N29" s="139" t="s">
        <v>42</v>
      </c>
      <c r="O29" s="140" t="s">
        <v>29</v>
      </c>
      <c r="Q29" s="137" t="s">
        <v>26</v>
      </c>
      <c r="R29" s="142" t="s">
        <v>27</v>
      </c>
      <c r="S29" s="139" t="s">
        <v>42</v>
      </c>
      <c r="T29" s="140" t="s">
        <v>29</v>
      </c>
      <c r="U29" s="143"/>
      <c r="V29" s="137" t="s">
        <v>26</v>
      </c>
      <c r="W29" s="142" t="s">
        <v>27</v>
      </c>
      <c r="X29" s="140" t="s">
        <v>29</v>
      </c>
      <c r="Y29" s="143"/>
      <c r="Z29" s="137" t="s">
        <v>26</v>
      </c>
      <c r="AA29" s="142" t="s">
        <v>27</v>
      </c>
      <c r="AB29" s="140" t="s">
        <v>29</v>
      </c>
      <c r="AD29" s="144" t="s">
        <v>26</v>
      </c>
      <c r="AE29" s="142" t="s">
        <v>27</v>
      </c>
      <c r="AF29" s="140" t="s">
        <v>29</v>
      </c>
    </row>
    <row r="30" spans="1:32" x14ac:dyDescent="0.35">
      <c r="A30" s="145">
        <v>45901</v>
      </c>
      <c r="B30" s="76"/>
      <c r="C30" s="61"/>
      <c r="D30" s="77"/>
      <c r="E30" s="147"/>
      <c r="F30" s="147"/>
      <c r="G30" s="76">
        <v>9</v>
      </c>
      <c r="H30" s="148"/>
      <c r="I30" s="77">
        <v>0</v>
      </c>
      <c r="J30" s="149"/>
      <c r="K30" s="149"/>
      <c r="L30" s="146"/>
      <c r="M30" s="147"/>
      <c r="N30" s="147"/>
      <c r="O30" s="147"/>
      <c r="P30" s="149"/>
      <c r="Q30" s="146"/>
      <c r="R30" s="147"/>
      <c r="S30" s="147"/>
      <c r="T30" s="147"/>
      <c r="U30" s="147"/>
      <c r="V30" s="150"/>
      <c r="X30" s="151"/>
      <c r="Y30" s="151"/>
      <c r="Z30" s="152"/>
      <c r="AA30" s="151"/>
      <c r="AB30" s="151"/>
      <c r="AD30" s="76"/>
      <c r="AE30" s="77"/>
    </row>
    <row r="31" spans="1:32" x14ac:dyDescent="0.35">
      <c r="A31" s="145">
        <v>45902</v>
      </c>
      <c r="B31" s="76">
        <v>12</v>
      </c>
      <c r="C31" s="61"/>
      <c r="D31" s="61">
        <v>672</v>
      </c>
      <c r="E31" s="147"/>
      <c r="F31" s="147"/>
      <c r="G31" s="76">
        <v>8</v>
      </c>
      <c r="H31" s="148">
        <v>0</v>
      </c>
      <c r="I31" s="77">
        <v>105</v>
      </c>
      <c r="J31" s="149"/>
      <c r="K31" s="149"/>
      <c r="L31" s="146"/>
      <c r="M31" s="147"/>
      <c r="N31" s="147"/>
      <c r="O31" s="147"/>
      <c r="P31" s="149"/>
      <c r="Q31" s="146"/>
      <c r="R31" s="147"/>
      <c r="S31" s="147"/>
      <c r="T31" s="147"/>
      <c r="U31" s="147"/>
      <c r="V31" s="150"/>
      <c r="W31" s="151"/>
      <c r="X31" s="151"/>
      <c r="Y31" s="151"/>
      <c r="Z31" s="152"/>
      <c r="AA31" s="151"/>
      <c r="AB31" s="151"/>
      <c r="AD31" s="76"/>
      <c r="AE31" s="77"/>
    </row>
    <row r="32" spans="1:32" x14ac:dyDescent="0.35">
      <c r="A32" s="145">
        <v>45903</v>
      </c>
      <c r="B32" s="76">
        <v>10.5</v>
      </c>
      <c r="C32" s="61">
        <v>162.5</v>
      </c>
      <c r="D32" s="77"/>
      <c r="E32" s="147"/>
      <c r="F32" s="149"/>
      <c r="G32" s="76">
        <v>10</v>
      </c>
      <c r="H32" s="61">
        <v>162.5</v>
      </c>
      <c r="I32" s="77">
        <v>112</v>
      </c>
      <c r="J32" s="149"/>
      <c r="K32" s="149"/>
      <c r="L32" s="146"/>
      <c r="M32" s="147"/>
      <c r="N32" s="147"/>
      <c r="O32" s="147"/>
      <c r="P32" s="149"/>
      <c r="Q32" s="146"/>
      <c r="R32" s="147"/>
      <c r="S32" s="147"/>
      <c r="T32" s="147"/>
      <c r="U32" s="147"/>
      <c r="V32" s="150"/>
      <c r="W32" s="151"/>
      <c r="X32" s="151"/>
      <c r="Y32" s="151"/>
      <c r="Z32" s="152"/>
      <c r="AA32" s="151"/>
      <c r="AB32" s="151"/>
      <c r="AD32" s="76"/>
      <c r="AE32" s="77"/>
    </row>
    <row r="33" spans="1:31" x14ac:dyDescent="0.35">
      <c r="A33" s="145">
        <v>45904</v>
      </c>
      <c r="B33" s="76"/>
      <c r="C33" s="61"/>
      <c r="D33" s="77"/>
      <c r="E33" s="147"/>
      <c r="F33" s="149"/>
      <c r="G33" s="76"/>
      <c r="H33" s="148"/>
      <c r="I33" s="77"/>
      <c r="J33" s="149"/>
      <c r="K33" s="149"/>
      <c r="L33" s="146">
        <v>6.5</v>
      </c>
      <c r="M33" s="147"/>
      <c r="N33" s="147">
        <v>731</v>
      </c>
      <c r="O33" s="147"/>
      <c r="P33" s="149"/>
      <c r="Q33" s="146"/>
      <c r="R33" s="147"/>
      <c r="S33" s="147"/>
      <c r="T33" s="147"/>
      <c r="U33" s="147"/>
      <c r="V33" s="75"/>
      <c r="W33" s="151"/>
      <c r="X33" s="151"/>
      <c r="Y33" s="151"/>
      <c r="Z33" s="75"/>
      <c r="AA33" s="151"/>
      <c r="AB33" s="151"/>
      <c r="AD33" s="76"/>
      <c r="AE33" s="77"/>
    </row>
    <row r="34" spans="1:31" x14ac:dyDescent="0.35">
      <c r="A34" s="145">
        <v>45905</v>
      </c>
      <c r="B34" s="76"/>
      <c r="C34" s="61"/>
      <c r="D34" s="77">
        <v>768</v>
      </c>
      <c r="E34" s="147"/>
      <c r="F34" s="149"/>
      <c r="G34" s="76">
        <v>12.5</v>
      </c>
      <c r="H34" s="148"/>
      <c r="I34" s="77">
        <v>768</v>
      </c>
      <c r="J34" s="149"/>
      <c r="K34" s="149"/>
      <c r="L34" s="146">
        <v>6.5</v>
      </c>
      <c r="M34" s="147">
        <v>0</v>
      </c>
      <c r="Q34" s="146"/>
      <c r="R34" s="147"/>
      <c r="V34" s="150"/>
      <c r="W34" s="151"/>
      <c r="Z34" s="75"/>
      <c r="AD34" s="76"/>
      <c r="AE34" s="77"/>
    </row>
    <row r="35" spans="1:31" x14ac:dyDescent="0.35">
      <c r="A35" s="145">
        <v>45906</v>
      </c>
      <c r="B35" s="76">
        <v>12.5</v>
      </c>
      <c r="C35" s="61"/>
      <c r="D35" s="77">
        <v>241.5</v>
      </c>
      <c r="E35" s="147"/>
      <c r="F35" s="149"/>
      <c r="G35" s="76"/>
      <c r="H35" s="148"/>
      <c r="I35" s="77">
        <v>241.5</v>
      </c>
      <c r="J35" s="149"/>
      <c r="K35" s="149"/>
      <c r="L35" s="146"/>
      <c r="M35" s="147"/>
      <c r="N35" s="147"/>
      <c r="Q35" s="146"/>
      <c r="R35" s="147"/>
      <c r="S35" s="61"/>
      <c r="V35" s="150"/>
      <c r="W35" s="151"/>
      <c r="X35" s="151"/>
      <c r="Z35" s="75"/>
      <c r="AD35" s="76">
        <v>9</v>
      </c>
      <c r="AE35" s="77">
        <v>237</v>
      </c>
    </row>
    <row r="36" spans="1:31" x14ac:dyDescent="0.35">
      <c r="A36" s="145">
        <v>45907</v>
      </c>
      <c r="B36" s="76"/>
      <c r="C36" s="61"/>
      <c r="D36" s="77"/>
      <c r="E36" s="147"/>
      <c r="F36" s="149"/>
      <c r="G36" s="76"/>
      <c r="H36" s="148"/>
      <c r="I36" s="77"/>
      <c r="J36" s="149"/>
      <c r="K36" s="149"/>
      <c r="L36" s="146">
        <v>3</v>
      </c>
      <c r="M36" s="147"/>
      <c r="N36" s="147">
        <v>0</v>
      </c>
      <c r="Q36" s="146"/>
      <c r="R36" s="147"/>
      <c r="S36" s="147">
        <v>232</v>
      </c>
      <c r="V36" s="150"/>
      <c r="W36" s="147"/>
      <c r="Z36" s="75"/>
      <c r="AA36" s="147"/>
      <c r="AD36" s="76">
        <v>9</v>
      </c>
      <c r="AE36" s="77">
        <v>0</v>
      </c>
    </row>
    <row r="37" spans="1:31" x14ac:dyDescent="0.35">
      <c r="A37" s="145">
        <v>45908</v>
      </c>
      <c r="B37" s="76"/>
      <c r="C37" s="61"/>
      <c r="D37" s="77"/>
      <c r="E37" s="147"/>
      <c r="F37" s="149"/>
      <c r="G37" s="76">
        <v>12</v>
      </c>
      <c r="H37" s="148"/>
      <c r="I37" s="77">
        <v>0</v>
      </c>
      <c r="J37" s="149"/>
      <c r="K37" s="149"/>
      <c r="L37" s="146"/>
      <c r="M37" s="147"/>
      <c r="Q37" s="146"/>
      <c r="R37" s="147"/>
      <c r="V37" s="75"/>
      <c r="W37" s="147"/>
      <c r="Z37" s="75"/>
      <c r="AD37" s="76"/>
      <c r="AE37" s="77"/>
    </row>
    <row r="38" spans="1:31" x14ac:dyDescent="0.35">
      <c r="A38" s="145">
        <v>45909</v>
      </c>
      <c r="B38" s="76">
        <v>12</v>
      </c>
      <c r="C38" s="61"/>
      <c r="D38" s="77">
        <v>0</v>
      </c>
      <c r="E38" s="147"/>
      <c r="F38" s="149"/>
      <c r="G38" s="76">
        <v>6</v>
      </c>
      <c r="H38" s="148">
        <v>1134</v>
      </c>
      <c r="I38" s="77"/>
      <c r="K38" s="149"/>
      <c r="L38" s="146"/>
      <c r="M38" s="147"/>
      <c r="Q38" s="146"/>
      <c r="R38" s="147"/>
      <c r="S38" s="147"/>
      <c r="V38" s="75"/>
      <c r="W38" s="151"/>
      <c r="Z38" s="75"/>
      <c r="AD38" s="76"/>
      <c r="AE38" s="77"/>
    </row>
    <row r="39" spans="1:31" ht="15" customHeight="1" x14ac:dyDescent="0.35">
      <c r="A39" s="145">
        <v>45910</v>
      </c>
      <c r="B39" s="76"/>
      <c r="C39" s="61"/>
      <c r="D39" s="77"/>
      <c r="E39" s="147"/>
      <c r="F39" s="149"/>
      <c r="G39" s="76">
        <v>11</v>
      </c>
      <c r="H39" s="148"/>
      <c r="I39" s="77">
        <v>113</v>
      </c>
      <c r="J39" s="149"/>
      <c r="K39" s="149"/>
      <c r="L39" s="146"/>
      <c r="M39" s="147"/>
      <c r="N39" s="147"/>
      <c r="Q39" s="146"/>
      <c r="R39" s="147"/>
      <c r="S39" s="147"/>
      <c r="V39" s="150"/>
      <c r="W39" s="147"/>
      <c r="Z39" s="75"/>
      <c r="AD39" s="76"/>
      <c r="AE39" s="77"/>
    </row>
    <row r="40" spans="1:31" x14ac:dyDescent="0.35">
      <c r="A40" s="145">
        <v>45911</v>
      </c>
      <c r="B40" s="76"/>
      <c r="C40" s="61"/>
      <c r="D40" s="77"/>
      <c r="E40" s="147"/>
      <c r="F40" s="149"/>
      <c r="G40" s="76">
        <v>6</v>
      </c>
      <c r="H40" s="148">
        <v>0</v>
      </c>
      <c r="I40" s="77"/>
      <c r="J40" s="149"/>
      <c r="K40" s="149"/>
      <c r="L40" s="146">
        <v>5.5</v>
      </c>
      <c r="M40" s="147"/>
      <c r="N40" s="147">
        <v>290</v>
      </c>
      <c r="Q40" s="146"/>
      <c r="R40" s="147"/>
      <c r="S40" s="147"/>
      <c r="V40" s="150"/>
      <c r="W40" s="151"/>
      <c r="X40" s="147"/>
      <c r="Z40" s="75"/>
      <c r="AD40" s="76"/>
      <c r="AE40" s="77"/>
    </row>
    <row r="41" spans="1:31" x14ac:dyDescent="0.35">
      <c r="A41" s="145">
        <v>45912</v>
      </c>
      <c r="B41" s="76"/>
      <c r="C41" s="61"/>
      <c r="D41" s="77">
        <v>528.5</v>
      </c>
      <c r="E41" s="147"/>
      <c r="F41" s="149"/>
      <c r="G41" s="76">
        <v>12</v>
      </c>
      <c r="H41" s="148"/>
      <c r="I41" s="77">
        <v>528.5</v>
      </c>
      <c r="J41" s="149"/>
      <c r="K41" s="149"/>
      <c r="L41" s="146">
        <v>5.5</v>
      </c>
      <c r="M41" s="147">
        <v>0</v>
      </c>
      <c r="N41" s="147"/>
      <c r="Q41" s="146"/>
      <c r="R41" s="147"/>
      <c r="S41" s="147"/>
      <c r="V41" s="150"/>
      <c r="W41" s="147"/>
      <c r="AD41" s="76"/>
      <c r="AE41" s="77"/>
    </row>
    <row r="42" spans="1:31" x14ac:dyDescent="0.35">
      <c r="A42" s="145">
        <v>45913</v>
      </c>
      <c r="B42" s="76">
        <v>12</v>
      </c>
      <c r="C42" s="61"/>
      <c r="D42" s="77">
        <v>408</v>
      </c>
      <c r="E42" s="147"/>
      <c r="F42" s="149"/>
      <c r="G42" s="76"/>
      <c r="H42" s="148"/>
      <c r="I42" s="77">
        <v>408</v>
      </c>
      <c r="J42" s="149"/>
      <c r="K42" s="149"/>
      <c r="L42" s="146">
        <v>5.5</v>
      </c>
      <c r="M42" s="147">
        <v>460</v>
      </c>
      <c r="N42" s="147"/>
      <c r="Q42" s="146"/>
      <c r="R42" s="147"/>
      <c r="S42" s="147"/>
      <c r="V42" s="75"/>
      <c r="W42" s="147"/>
      <c r="Z42" s="75"/>
      <c r="AD42" s="76">
        <v>5.5</v>
      </c>
      <c r="AE42" s="77">
        <v>1180</v>
      </c>
    </row>
    <row r="43" spans="1:31" x14ac:dyDescent="0.35">
      <c r="A43" s="145">
        <v>45914</v>
      </c>
      <c r="B43" s="76"/>
      <c r="C43" s="61"/>
      <c r="D43" s="77"/>
      <c r="E43" s="147"/>
      <c r="F43" s="149"/>
      <c r="G43" s="76"/>
      <c r="H43" s="148"/>
      <c r="I43" s="77"/>
      <c r="J43" s="147"/>
      <c r="K43" s="149"/>
      <c r="L43" s="146">
        <v>7</v>
      </c>
      <c r="M43" s="147"/>
      <c r="N43" s="147">
        <v>0</v>
      </c>
      <c r="Q43" s="146"/>
      <c r="R43" s="147"/>
      <c r="V43" s="75"/>
      <c r="W43" s="151"/>
      <c r="Z43" s="75"/>
      <c r="AD43" s="76">
        <v>10</v>
      </c>
      <c r="AE43" s="77">
        <v>196</v>
      </c>
    </row>
    <row r="44" spans="1:31" x14ac:dyDescent="0.35">
      <c r="A44" s="145">
        <v>45915</v>
      </c>
      <c r="B44" s="76">
        <v>10</v>
      </c>
      <c r="C44" s="61"/>
      <c r="D44" s="77">
        <v>0</v>
      </c>
      <c r="E44" s="147"/>
      <c r="F44" s="149"/>
      <c r="G44" s="76">
        <v>9.5</v>
      </c>
      <c r="H44" s="148">
        <v>0</v>
      </c>
      <c r="I44" s="77"/>
      <c r="J44" s="149"/>
      <c r="K44" s="149"/>
      <c r="L44" s="146"/>
      <c r="M44" s="147"/>
      <c r="Q44" s="146"/>
      <c r="R44" s="147"/>
      <c r="S44" s="147"/>
      <c r="V44" s="104"/>
      <c r="AD44" s="76"/>
      <c r="AE44" s="77"/>
    </row>
    <row r="45" spans="1:31" x14ac:dyDescent="0.35">
      <c r="A45" s="145">
        <v>45916</v>
      </c>
      <c r="B45" s="76">
        <v>12</v>
      </c>
      <c r="C45" s="61"/>
      <c r="D45" s="77">
        <v>0</v>
      </c>
      <c r="E45" s="147"/>
      <c r="F45" s="149"/>
      <c r="G45" s="76">
        <v>8</v>
      </c>
      <c r="H45" s="148">
        <v>0</v>
      </c>
      <c r="I45" s="77"/>
      <c r="J45" s="149"/>
      <c r="K45" s="149"/>
      <c r="L45" s="146"/>
      <c r="M45" s="147"/>
      <c r="O45" s="147"/>
      <c r="Q45" s="146"/>
      <c r="R45" s="147"/>
      <c r="S45" s="147"/>
      <c r="T45" s="147"/>
      <c r="V45" s="104"/>
      <c r="AD45" s="76"/>
      <c r="AE45" s="77"/>
    </row>
    <row r="46" spans="1:31" x14ac:dyDescent="0.35">
      <c r="A46" s="145">
        <v>45917</v>
      </c>
      <c r="B46" s="76"/>
      <c r="C46" s="61"/>
      <c r="D46" s="77"/>
      <c r="E46" s="147"/>
      <c r="F46" s="149"/>
      <c r="G46" s="76">
        <v>8.5</v>
      </c>
      <c r="H46" s="148"/>
      <c r="I46" s="77">
        <v>445</v>
      </c>
      <c r="J46" s="149"/>
      <c r="K46" s="149"/>
      <c r="L46" s="146">
        <v>10</v>
      </c>
      <c r="M46" s="147">
        <v>84</v>
      </c>
      <c r="N46" s="147"/>
      <c r="Q46" s="146"/>
      <c r="R46" s="147"/>
      <c r="S46" s="147"/>
      <c r="V46" s="104"/>
      <c r="Z46" s="75"/>
      <c r="AA46" s="147"/>
      <c r="AD46" s="76"/>
      <c r="AE46" s="77"/>
    </row>
    <row r="47" spans="1:31" x14ac:dyDescent="0.35">
      <c r="A47" s="145">
        <v>45918</v>
      </c>
      <c r="B47" s="76">
        <v>12</v>
      </c>
      <c r="C47" s="61"/>
      <c r="D47" s="77">
        <v>210</v>
      </c>
      <c r="E47" s="147"/>
      <c r="F47" s="149"/>
      <c r="G47" s="76"/>
      <c r="H47" s="148"/>
      <c r="I47" s="77"/>
      <c r="J47" s="149"/>
      <c r="K47" s="149"/>
      <c r="L47" s="146">
        <v>5.5</v>
      </c>
      <c r="M47" s="147">
        <v>0</v>
      </c>
      <c r="Q47" s="146"/>
      <c r="R47" s="147"/>
      <c r="S47" s="147"/>
      <c r="V47" s="75"/>
      <c r="W47" s="147"/>
      <c r="Z47" s="75"/>
      <c r="AA47" s="147"/>
      <c r="AD47" s="76"/>
      <c r="AE47" s="77"/>
    </row>
    <row r="48" spans="1:31" x14ac:dyDescent="0.35">
      <c r="A48" s="145">
        <v>45919</v>
      </c>
      <c r="B48" s="76"/>
      <c r="C48" s="61"/>
      <c r="D48" s="77"/>
      <c r="E48" s="147"/>
      <c r="F48" s="149"/>
      <c r="G48" s="76">
        <v>12</v>
      </c>
      <c r="H48" s="148"/>
      <c r="I48" s="77"/>
      <c r="J48" s="147"/>
      <c r="K48" s="149"/>
      <c r="L48" s="146">
        <v>5.5</v>
      </c>
      <c r="M48" s="147">
        <v>0</v>
      </c>
      <c r="Q48" s="146"/>
      <c r="R48" s="147"/>
      <c r="V48" s="150"/>
      <c r="W48" s="147"/>
      <c r="Z48" s="75"/>
      <c r="AA48" s="147"/>
      <c r="AD48" s="76"/>
      <c r="AE48" s="77"/>
    </row>
    <row r="49" spans="1:31" x14ac:dyDescent="0.35">
      <c r="A49" s="145">
        <v>45920</v>
      </c>
      <c r="B49" s="76">
        <v>12</v>
      </c>
      <c r="C49" s="61"/>
      <c r="D49" s="77">
        <v>312</v>
      </c>
      <c r="E49" s="147"/>
      <c r="F49" s="149"/>
      <c r="G49" s="76"/>
      <c r="H49" s="148"/>
      <c r="I49" s="77">
        <v>312</v>
      </c>
      <c r="J49" s="149"/>
      <c r="K49" s="149"/>
      <c r="L49" s="146">
        <v>5.5</v>
      </c>
      <c r="M49" s="147">
        <v>408</v>
      </c>
      <c r="N49" s="147"/>
      <c r="R49" s="77">
        <v>210</v>
      </c>
      <c r="S49" s="147"/>
      <c r="V49" s="153"/>
      <c r="W49" s="147"/>
      <c r="Z49" s="75"/>
      <c r="AD49" s="76"/>
      <c r="AE49" s="77"/>
    </row>
    <row r="50" spans="1:31" x14ac:dyDescent="0.35">
      <c r="A50" s="145">
        <v>45921</v>
      </c>
      <c r="B50" s="76"/>
      <c r="C50" s="61"/>
      <c r="D50" s="77"/>
      <c r="E50" s="147"/>
      <c r="F50" s="149"/>
      <c r="G50" s="76"/>
      <c r="H50" s="148"/>
      <c r="I50" s="77"/>
      <c r="J50" s="149"/>
      <c r="K50" s="149"/>
      <c r="L50" s="146">
        <v>11</v>
      </c>
      <c r="M50" s="147">
        <v>790</v>
      </c>
      <c r="N50" s="147">
        <v>0</v>
      </c>
      <c r="S50" s="147"/>
      <c r="V50" s="153"/>
      <c r="W50" s="147"/>
      <c r="AD50" s="76"/>
      <c r="AE50" s="77"/>
    </row>
    <row r="51" spans="1:31" x14ac:dyDescent="0.35">
      <c r="A51" s="145">
        <v>45922</v>
      </c>
      <c r="B51" s="76">
        <v>11.5</v>
      </c>
      <c r="C51" s="61">
        <v>312</v>
      </c>
      <c r="D51" s="77"/>
      <c r="E51" s="147"/>
      <c r="F51" s="149"/>
      <c r="G51" s="76">
        <v>10</v>
      </c>
      <c r="H51" s="148">
        <v>0</v>
      </c>
      <c r="I51" s="77"/>
      <c r="J51" s="147"/>
      <c r="K51" s="149"/>
      <c r="L51" s="146"/>
      <c r="M51" s="147"/>
      <c r="N51" s="147"/>
      <c r="O51" s="147"/>
      <c r="S51" s="147"/>
      <c r="T51" s="147"/>
      <c r="U51" s="147"/>
      <c r="V51" s="153"/>
      <c r="X51" s="147"/>
      <c r="AD51" s="76"/>
      <c r="AE51" s="77"/>
    </row>
    <row r="52" spans="1:31" x14ac:dyDescent="0.35">
      <c r="A52" s="145">
        <v>45923</v>
      </c>
      <c r="B52" s="76">
        <v>12</v>
      </c>
      <c r="C52" s="61"/>
      <c r="D52" s="77">
        <v>284</v>
      </c>
      <c r="E52" s="147"/>
      <c r="F52" s="149"/>
      <c r="G52" s="76"/>
      <c r="H52" s="148"/>
      <c r="I52" s="77"/>
      <c r="J52" s="147"/>
      <c r="K52" s="149"/>
      <c r="L52" s="146">
        <v>10</v>
      </c>
      <c r="M52" s="147">
        <v>0</v>
      </c>
      <c r="R52" s="16"/>
      <c r="S52" s="147"/>
      <c r="V52" s="153"/>
      <c r="W52" s="147"/>
      <c r="AD52" s="76"/>
      <c r="AE52" s="77"/>
    </row>
    <row r="53" spans="1:31" x14ac:dyDescent="0.35">
      <c r="A53" s="145">
        <v>45924</v>
      </c>
      <c r="B53" s="76"/>
      <c r="C53" s="61"/>
      <c r="D53" s="77"/>
      <c r="E53" s="147"/>
      <c r="F53" s="149"/>
      <c r="G53" s="76">
        <v>2</v>
      </c>
      <c r="H53" s="148"/>
      <c r="I53" s="77">
        <v>0</v>
      </c>
      <c r="J53" s="149"/>
      <c r="K53" s="149"/>
      <c r="L53" s="146">
        <v>8</v>
      </c>
      <c r="M53" s="147"/>
      <c r="N53" s="147">
        <v>0</v>
      </c>
      <c r="O53" s="16"/>
      <c r="T53" s="16"/>
      <c r="U53" s="16"/>
      <c r="V53" s="153"/>
      <c r="W53" s="147"/>
      <c r="AD53" s="76">
        <v>11</v>
      </c>
      <c r="AE53" s="77">
        <v>0</v>
      </c>
    </row>
    <row r="54" spans="1:31" x14ac:dyDescent="0.35">
      <c r="A54" s="145">
        <v>45925</v>
      </c>
      <c r="B54" s="76"/>
      <c r="C54" s="61"/>
      <c r="D54" s="77"/>
      <c r="E54" s="147"/>
      <c r="F54" s="149"/>
      <c r="G54" s="76"/>
      <c r="H54" s="148"/>
      <c r="I54" s="77"/>
      <c r="J54" s="149"/>
      <c r="K54" s="149"/>
      <c r="L54" s="146">
        <v>12</v>
      </c>
      <c r="M54" s="147"/>
      <c r="N54" s="147">
        <v>76</v>
      </c>
      <c r="V54" s="153"/>
      <c r="W54" s="147"/>
      <c r="Z54" s="75"/>
      <c r="AD54" s="76"/>
      <c r="AE54" s="77"/>
    </row>
    <row r="55" spans="1:31" x14ac:dyDescent="0.35">
      <c r="A55" s="145">
        <v>45926</v>
      </c>
      <c r="B55" s="76">
        <v>12</v>
      </c>
      <c r="C55" s="61"/>
      <c r="D55" s="77">
        <v>105</v>
      </c>
      <c r="E55" s="147"/>
      <c r="F55" s="149"/>
      <c r="G55" s="76"/>
      <c r="H55" s="148"/>
      <c r="I55" s="77">
        <v>105</v>
      </c>
      <c r="J55" s="149"/>
      <c r="K55" s="149"/>
      <c r="L55" s="146"/>
      <c r="M55" s="147"/>
      <c r="S55" s="147"/>
      <c r="V55" s="153"/>
      <c r="W55" s="147"/>
      <c r="Z55" s="75"/>
      <c r="AD55" s="76"/>
      <c r="AE55" s="77"/>
    </row>
    <row r="56" spans="1:31" x14ac:dyDescent="0.35">
      <c r="A56" s="145">
        <v>45927</v>
      </c>
      <c r="B56" s="76">
        <v>12</v>
      </c>
      <c r="C56" s="61"/>
      <c r="D56" s="77">
        <v>690</v>
      </c>
      <c r="E56" s="147"/>
      <c r="F56" s="149"/>
      <c r="G56" s="76"/>
      <c r="H56" s="148"/>
      <c r="I56" s="77">
        <v>690</v>
      </c>
      <c r="J56" s="154"/>
      <c r="K56" s="149"/>
      <c r="L56" s="146"/>
      <c r="M56" s="147"/>
      <c r="N56" s="147"/>
      <c r="V56" s="153"/>
      <c r="W56" s="147"/>
      <c r="Z56" s="75"/>
      <c r="AD56" s="76"/>
      <c r="AE56" s="77"/>
    </row>
    <row r="57" spans="1:31" x14ac:dyDescent="0.35">
      <c r="A57" s="145">
        <v>45928</v>
      </c>
      <c r="B57" s="76"/>
      <c r="C57" s="61"/>
      <c r="D57" s="77">
        <v>40</v>
      </c>
      <c r="E57" s="147"/>
      <c r="F57" s="149"/>
      <c r="G57" s="76"/>
      <c r="H57" s="148"/>
      <c r="I57" s="77"/>
      <c r="J57" s="149"/>
      <c r="K57" s="149"/>
      <c r="L57" s="146">
        <v>6.5</v>
      </c>
      <c r="M57" s="147"/>
      <c r="N57" s="147">
        <v>115</v>
      </c>
      <c r="O57" s="147"/>
      <c r="V57" s="153"/>
      <c r="W57" s="147"/>
      <c r="Z57" s="75"/>
      <c r="AA57" s="147"/>
      <c r="AD57" s="76"/>
      <c r="AE57" s="77"/>
    </row>
    <row r="58" spans="1:31" x14ac:dyDescent="0.35">
      <c r="A58" s="145">
        <v>45929</v>
      </c>
      <c r="B58" s="76">
        <v>12</v>
      </c>
      <c r="C58" s="61"/>
      <c r="D58" s="77">
        <v>100</v>
      </c>
      <c r="E58" s="147"/>
      <c r="F58" s="149"/>
      <c r="G58" s="76"/>
      <c r="H58" s="148"/>
      <c r="I58" s="77"/>
      <c r="J58" s="149"/>
      <c r="K58" s="149"/>
      <c r="L58" s="153"/>
      <c r="M58" s="147"/>
      <c r="N58" s="147"/>
      <c r="S58" s="147"/>
      <c r="V58" s="153"/>
      <c r="W58" s="147"/>
      <c r="Z58" s="75"/>
      <c r="AD58" s="76"/>
      <c r="AE58" s="77"/>
    </row>
    <row r="59" spans="1:31" x14ac:dyDescent="0.35">
      <c r="A59" s="145">
        <v>45930</v>
      </c>
      <c r="B59" s="76">
        <v>12</v>
      </c>
      <c r="C59" s="61"/>
      <c r="D59" s="77">
        <v>1519</v>
      </c>
      <c r="E59" s="147"/>
      <c r="F59" s="149"/>
      <c r="G59" s="76"/>
      <c r="H59" s="148"/>
      <c r="I59" s="77"/>
      <c r="J59" s="149"/>
      <c r="K59" s="149"/>
      <c r="L59" s="153"/>
      <c r="M59" s="147"/>
      <c r="V59" s="153"/>
      <c r="W59" s="147"/>
      <c r="Z59" s="75"/>
      <c r="AA59" s="147"/>
      <c r="AD59" s="76"/>
      <c r="AE59" s="77"/>
    </row>
    <row r="60" spans="1:31" x14ac:dyDescent="0.35">
      <c r="A60" s="145"/>
      <c r="B60" s="146"/>
      <c r="C60" s="147"/>
      <c r="D60" s="147"/>
      <c r="E60" s="147"/>
      <c r="F60" s="149"/>
      <c r="G60" s="146"/>
      <c r="H60" s="148"/>
      <c r="I60" s="147"/>
      <c r="J60" s="149"/>
      <c r="K60" s="149"/>
      <c r="L60" s="153"/>
      <c r="M60" s="147"/>
      <c r="N60" s="147"/>
      <c r="Q60" s="153"/>
      <c r="R60" s="147"/>
      <c r="S60" s="147"/>
      <c r="V60" s="75"/>
      <c r="W60" s="147"/>
      <c r="Z60" s="75"/>
      <c r="AA60" s="77"/>
      <c r="AD60" s="102"/>
      <c r="AE60" s="77"/>
    </row>
    <row r="61" spans="1:31" x14ac:dyDescent="0.35">
      <c r="AE61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7AF0-AE4E-7143-AEB2-D0685F37B84F}">
  <dimension ref="A1:AJ61"/>
  <sheetViews>
    <sheetView topLeftCell="L1" zoomScale="82" zoomScaleNormal="82" zoomScaleSheetLayoutView="100" workbookViewId="0">
      <selection activeCell="L1" sqref="A1:XFD1048576"/>
    </sheetView>
  </sheetViews>
  <sheetFormatPr defaultRowHeight="14.5" x14ac:dyDescent="0.35"/>
  <cols>
    <col min="1" max="1" width="26" customWidth="1"/>
    <col min="2" max="2" width="12.90625" customWidth="1"/>
    <col min="3" max="3" width="9.81640625" customWidth="1"/>
    <col min="4" max="4" width="10.1796875" customWidth="1"/>
    <col min="5" max="5" width="12.54296875" customWidth="1"/>
    <col min="6" max="6" width="2.453125" customWidth="1"/>
    <col min="7" max="7" width="9.179687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72656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8" width="10.1796875" customWidth="1"/>
    <col min="19" max="19" width="12.54296875" customWidth="1"/>
    <col min="20" max="20" width="8.08984375" customWidth="1"/>
    <col min="21" max="21" width="2.26953125" customWidth="1"/>
    <col min="22" max="22" width="7.81640625" style="7" customWidth="1"/>
    <col min="23" max="23" width="11.1796875" style="7" customWidth="1"/>
    <col min="24" max="24" width="8.36328125" style="7" customWidth="1"/>
    <col min="25" max="25" width="2.453125" style="7" customWidth="1"/>
    <col min="26" max="26" width="9.1796875" style="7" customWidth="1"/>
    <col min="27" max="27" width="13.26953125" style="7" customWidth="1"/>
    <col min="28" max="28" width="10.90625" style="7" customWidth="1"/>
    <col min="29" max="29" width="2.6328125" customWidth="1"/>
    <col min="30" max="30" width="9.1796875" style="98" customWidth="1"/>
    <col min="31" max="31" width="11" style="94" customWidth="1"/>
    <col min="32" max="32" width="10.36328125" customWidth="1"/>
    <col min="33" max="33" width="2.81640625" customWidth="1"/>
    <col min="34" max="34" width="9.1796875" style="98" customWidth="1"/>
    <col min="35" max="35" width="10.90625" style="94" customWidth="1"/>
    <col min="36" max="36" width="9.36328125" customWidth="1"/>
  </cols>
  <sheetData>
    <row r="1" spans="1:36" ht="17.5" x14ac:dyDescent="0.35">
      <c r="A1" s="106" t="s">
        <v>53</v>
      </c>
      <c r="C1" s="2"/>
      <c r="D1" s="2"/>
      <c r="E1" s="107" t="s">
        <v>0</v>
      </c>
      <c r="L1" s="108"/>
      <c r="M1" s="109"/>
      <c r="N1" s="109"/>
      <c r="Q1" s="108"/>
      <c r="R1" s="109"/>
      <c r="S1" s="109"/>
    </row>
    <row r="2" spans="1:36" x14ac:dyDescent="0.35">
      <c r="A2" s="107"/>
      <c r="B2" s="9"/>
      <c r="C2" s="2"/>
      <c r="D2" s="2"/>
      <c r="L2" s="108"/>
      <c r="M2" s="109"/>
      <c r="N2" s="109"/>
      <c r="Q2" s="108"/>
      <c r="R2" s="109"/>
      <c r="S2" s="109"/>
    </row>
    <row r="3" spans="1:36" x14ac:dyDescent="0.35">
      <c r="A3" s="107"/>
      <c r="B3" s="10"/>
      <c r="C3" s="2"/>
      <c r="D3" s="2"/>
      <c r="L3" s="108"/>
      <c r="M3" s="109"/>
      <c r="N3" s="109"/>
      <c r="Q3" s="108"/>
      <c r="R3" s="109"/>
      <c r="S3" s="109"/>
    </row>
    <row r="4" spans="1:36" x14ac:dyDescent="0.35">
      <c r="A4" s="107" t="s">
        <v>1</v>
      </c>
      <c r="B4" s="110">
        <f>B14+G14+L14+V14+Z14</f>
        <v>320</v>
      </c>
      <c r="C4" s="2"/>
      <c r="D4" s="2"/>
      <c r="L4" s="108"/>
      <c r="M4" s="109"/>
      <c r="N4" s="109"/>
      <c r="Q4" s="108"/>
      <c r="R4" s="109"/>
      <c r="S4" s="109"/>
    </row>
    <row r="5" spans="1:36" x14ac:dyDescent="0.35">
      <c r="A5" s="107" t="s">
        <v>40</v>
      </c>
      <c r="B5" s="111">
        <f>B15+G15+H4615+L15+Q15+V15+Z15+AD15</f>
        <v>1298</v>
      </c>
      <c r="C5" s="2"/>
      <c r="D5" s="2"/>
      <c r="L5" s="108"/>
      <c r="M5" s="109"/>
      <c r="N5" s="109"/>
      <c r="Q5" s="108"/>
      <c r="R5" s="109"/>
      <c r="S5" s="109"/>
    </row>
    <row r="6" spans="1:36" x14ac:dyDescent="0.35">
      <c r="A6" s="107" t="s">
        <v>41</v>
      </c>
      <c r="B6" s="112">
        <f>B16+G16+L16+Q16+AH16</f>
        <v>17510.2</v>
      </c>
      <c r="C6" s="2"/>
      <c r="D6" s="2"/>
      <c r="L6" s="108"/>
      <c r="M6" s="109"/>
      <c r="N6" s="109"/>
      <c r="Q6" s="108"/>
      <c r="R6" s="109"/>
      <c r="S6" s="109"/>
    </row>
    <row r="7" spans="1:36" x14ac:dyDescent="0.35">
      <c r="A7" s="107" t="s">
        <v>4</v>
      </c>
      <c r="B7" s="113">
        <f>B5+B6+C7</f>
        <v>18808.2</v>
      </c>
      <c r="C7" s="15">
        <f>C17+H17+M17+W18+AB17</f>
        <v>0</v>
      </c>
      <c r="D7" s="15"/>
      <c r="E7" s="16"/>
      <c r="L7" s="108"/>
      <c r="M7" s="109"/>
      <c r="N7" s="109"/>
      <c r="Q7" s="108"/>
      <c r="R7" s="109"/>
      <c r="S7" s="109"/>
    </row>
    <row r="8" spans="1:36" x14ac:dyDescent="0.35">
      <c r="A8" s="107" t="s">
        <v>5</v>
      </c>
      <c r="B8" s="113">
        <f>B22+G22+L22+V22</f>
        <v>5155.82</v>
      </c>
      <c r="C8" s="2"/>
      <c r="D8" s="2"/>
      <c r="L8" s="108"/>
      <c r="M8" s="109"/>
      <c r="N8" s="109"/>
      <c r="Q8" s="108"/>
      <c r="R8" s="109"/>
      <c r="S8" s="109"/>
    </row>
    <row r="9" spans="1:36" x14ac:dyDescent="0.35">
      <c r="A9" s="107"/>
      <c r="B9" s="114"/>
      <c r="L9" s="108"/>
      <c r="M9" s="109"/>
      <c r="N9" s="109"/>
      <c r="Q9" s="108"/>
      <c r="R9" s="109"/>
      <c r="S9" s="109"/>
    </row>
    <row r="10" spans="1:36" x14ac:dyDescent="0.35">
      <c r="A10" s="107" t="s">
        <v>6</v>
      </c>
      <c r="B10" s="113">
        <f>B8+B23+L26</f>
        <v>5355.82</v>
      </c>
      <c r="C10" s="2"/>
      <c r="D10" s="2"/>
      <c r="L10" s="108"/>
      <c r="M10" s="109"/>
      <c r="N10" s="109"/>
      <c r="Q10" s="108"/>
      <c r="R10" s="109"/>
      <c r="S10" s="109"/>
    </row>
    <row r="11" spans="1:36" x14ac:dyDescent="0.35">
      <c r="B11" s="115"/>
      <c r="C11" s="2"/>
      <c r="D11" s="2"/>
      <c r="G11" s="115"/>
      <c r="L11" s="108"/>
      <c r="M11" s="109"/>
      <c r="N11" s="109"/>
      <c r="Q11" s="108"/>
      <c r="R11" s="109"/>
      <c r="S11" s="109"/>
      <c r="V11" s="116"/>
      <c r="Z11" s="116"/>
    </row>
    <row r="12" spans="1:36" x14ac:dyDescent="0.35">
      <c r="B12" s="115" t="s">
        <v>7</v>
      </c>
      <c r="C12" s="2"/>
      <c r="D12" s="2"/>
      <c r="G12" s="115" t="s">
        <v>8</v>
      </c>
      <c r="H12" s="117"/>
      <c r="I12" s="108"/>
      <c r="J12" s="108"/>
      <c r="L12" s="115" t="s">
        <v>9</v>
      </c>
      <c r="M12" s="109"/>
      <c r="N12" s="109"/>
      <c r="Q12" s="115" t="s">
        <v>11</v>
      </c>
      <c r="R12" s="109"/>
      <c r="S12" s="109"/>
      <c r="V12" s="115" t="s">
        <v>33</v>
      </c>
      <c r="Z12" s="115" t="s">
        <v>54</v>
      </c>
      <c r="AC12" s="73"/>
      <c r="AD12" s="158" t="s">
        <v>48</v>
      </c>
      <c r="AE12" s="95"/>
      <c r="AF12" s="7"/>
      <c r="AH12" s="158" t="s">
        <v>55</v>
      </c>
      <c r="AI12" s="95"/>
      <c r="AJ12" s="7"/>
    </row>
    <row r="13" spans="1:36" x14ac:dyDescent="0.35">
      <c r="B13" s="115"/>
      <c r="C13" s="2"/>
      <c r="D13" s="2"/>
      <c r="G13" s="115"/>
      <c r="H13" s="117"/>
      <c r="I13" s="108"/>
      <c r="J13" s="108"/>
      <c r="L13" s="115"/>
      <c r="M13" s="109"/>
      <c r="N13" s="109"/>
      <c r="Q13" s="115"/>
      <c r="R13" s="109"/>
      <c r="S13" s="109"/>
      <c r="V13" s="115"/>
      <c r="Z13" s="115" t="s">
        <v>56</v>
      </c>
      <c r="AB13" s="155"/>
      <c r="AC13" s="156"/>
      <c r="AD13" s="157" t="s">
        <v>51</v>
      </c>
      <c r="AE13" s="95"/>
      <c r="AF13" s="7"/>
      <c r="AH13" s="157" t="s">
        <v>57</v>
      </c>
      <c r="AI13" s="95"/>
      <c r="AJ13" s="7"/>
    </row>
    <row r="14" spans="1:36" x14ac:dyDescent="0.35">
      <c r="A14" s="115" t="s">
        <v>12</v>
      </c>
      <c r="B14" s="119">
        <f>SUM(B31:B62)</f>
        <v>96</v>
      </c>
      <c r="C14" s="2"/>
      <c r="D14" s="2"/>
      <c r="G14" s="120">
        <f>SUM(G30:G60)</f>
        <v>125</v>
      </c>
      <c r="H14" s="117"/>
      <c r="I14" s="108"/>
      <c r="J14" s="108"/>
      <c r="L14" s="120">
        <f>SUM(L30:L62)</f>
        <v>42</v>
      </c>
      <c r="M14" s="109"/>
      <c r="N14" s="109"/>
      <c r="Q14" s="120">
        <f>SUM(Q30:Q62)</f>
        <v>0</v>
      </c>
      <c r="R14" s="109"/>
      <c r="S14" s="109"/>
      <c r="V14" s="120">
        <f>SUM(V28:V60)</f>
        <v>28</v>
      </c>
      <c r="W14" s="117"/>
      <c r="X14" s="108"/>
      <c r="Y14" s="108"/>
      <c r="Z14" s="120">
        <f>SUM(Z28:Z60)</f>
        <v>29</v>
      </c>
      <c r="AA14" s="117"/>
      <c r="AB14" s="108"/>
      <c r="AD14" s="120">
        <f>SUM(AD28:AD60)</f>
        <v>22</v>
      </c>
      <c r="AE14" s="117"/>
      <c r="AF14" s="108"/>
      <c r="AH14" s="120">
        <f>SUM(AH28:AH60)</f>
        <v>8.5</v>
      </c>
      <c r="AI14" s="117"/>
      <c r="AJ14" s="108"/>
    </row>
    <row r="15" spans="1:36" x14ac:dyDescent="0.35">
      <c r="A15" s="107" t="s">
        <v>40</v>
      </c>
      <c r="B15" s="121">
        <f>SUM(C30:C59)</f>
        <v>0</v>
      </c>
      <c r="C15" s="2"/>
      <c r="D15" s="2"/>
      <c r="G15" s="122">
        <f>SUM(H30:H60)</f>
        <v>0</v>
      </c>
      <c r="H15" s="117"/>
      <c r="I15" s="108"/>
      <c r="J15" s="108"/>
      <c r="L15" s="122">
        <f>SUM(M30:M60)</f>
        <v>0</v>
      </c>
      <c r="M15" s="109"/>
      <c r="N15" s="109"/>
      <c r="Q15" s="122">
        <f>SUM(R30:R60)</f>
        <v>0</v>
      </c>
      <c r="R15" s="109"/>
      <c r="S15" s="109"/>
      <c r="V15" s="123">
        <f>SUM(W30:W60)</f>
        <v>782</v>
      </c>
      <c r="W15" s="117"/>
      <c r="X15" s="108"/>
      <c r="Y15" s="108"/>
      <c r="Z15" s="122">
        <f>SUM(AA30:AA60)</f>
        <v>376</v>
      </c>
      <c r="AA15" s="117"/>
      <c r="AB15" s="108"/>
      <c r="AD15" s="122">
        <f>SUM(AE30:AE60)</f>
        <v>140</v>
      </c>
      <c r="AE15" s="117"/>
      <c r="AF15" s="108"/>
      <c r="AH15" s="122"/>
      <c r="AI15" s="117"/>
      <c r="AJ15" s="108"/>
    </row>
    <row r="16" spans="1:36" x14ac:dyDescent="0.35">
      <c r="A16" s="115" t="s">
        <v>41</v>
      </c>
      <c r="B16" s="122">
        <f>SUM(D30:D60)</f>
        <v>7213</v>
      </c>
      <c r="C16" s="2"/>
      <c r="D16" s="2"/>
      <c r="G16" s="122">
        <f>SUM(I30:I60)</f>
        <v>7240.2</v>
      </c>
      <c r="H16" s="117"/>
      <c r="I16" s="108"/>
      <c r="J16" s="108"/>
      <c r="L16" s="122">
        <f>SUM(N30:N60)</f>
        <v>2933</v>
      </c>
      <c r="M16" s="109"/>
      <c r="N16" s="109"/>
      <c r="Q16" s="122">
        <f>SUM(S30:S60)</f>
        <v>0</v>
      </c>
      <c r="R16" s="109"/>
      <c r="S16" s="109"/>
      <c r="V16" s="122"/>
      <c r="W16" s="117"/>
      <c r="X16" s="108"/>
      <c r="Y16" s="108"/>
      <c r="Z16" s="122"/>
      <c r="AA16" s="117"/>
      <c r="AB16" s="108"/>
      <c r="AD16" s="122"/>
      <c r="AE16" s="117"/>
      <c r="AF16" s="108"/>
      <c r="AH16" s="122">
        <f>SUM(AI30:AI61)</f>
        <v>124</v>
      </c>
      <c r="AI16" s="117"/>
      <c r="AJ16" s="108"/>
    </row>
    <row r="17" spans="1:36" x14ac:dyDescent="0.35">
      <c r="A17" s="115" t="s">
        <v>13</v>
      </c>
      <c r="B17" s="122">
        <f>B15+B16</f>
        <v>7213</v>
      </c>
      <c r="C17" s="124">
        <f>SUM(E30:E61)</f>
        <v>0</v>
      </c>
      <c r="D17" s="125"/>
      <c r="E17" s="27"/>
      <c r="G17" s="122">
        <f>G15+G16+H17</f>
        <v>7240.2</v>
      </c>
      <c r="H17" s="124">
        <f>SUM(J30:J61)</f>
        <v>0</v>
      </c>
      <c r="I17" s="126"/>
      <c r="J17" s="30"/>
      <c r="L17" s="122">
        <f>L15+L16+M17</f>
        <v>2933</v>
      </c>
      <c r="M17" s="127">
        <f>SUM(O30:O60)</f>
        <v>0</v>
      </c>
      <c r="N17" s="125"/>
      <c r="O17" s="30"/>
      <c r="Q17" s="122">
        <f>Q15+Q16+R17</f>
        <v>0</v>
      </c>
      <c r="R17" s="127">
        <f>SUM(T30:T60)</f>
        <v>0</v>
      </c>
      <c r="S17" s="125"/>
      <c r="T17" s="30"/>
      <c r="U17" s="30"/>
      <c r="V17" s="122">
        <f>V15+V16</f>
        <v>782</v>
      </c>
      <c r="W17" s="127">
        <f>SUM(Y30:Y60)</f>
        <v>0</v>
      </c>
      <c r="X17" s="125"/>
      <c r="Y17" s="125"/>
      <c r="Z17" s="122">
        <f>Z15+Z16</f>
        <v>376</v>
      </c>
      <c r="AA17" s="127">
        <f>SUM(AC30:AC60)</f>
        <v>0</v>
      </c>
      <c r="AB17" s="125"/>
      <c r="AD17" s="122">
        <f>AD15+AD16</f>
        <v>140</v>
      </c>
      <c r="AE17" s="128">
        <f>SUM(AG30:AG60)</f>
        <v>0</v>
      </c>
      <c r="AF17" s="125"/>
      <c r="AH17" s="122">
        <f>AH15+AH16</f>
        <v>124</v>
      </c>
      <c r="AI17" s="128">
        <f>SUM(AK30:AK60)</f>
        <v>0</v>
      </c>
      <c r="AJ17" s="125"/>
    </row>
    <row r="18" spans="1:36" x14ac:dyDescent="0.35">
      <c r="A18" s="108" t="s">
        <v>14</v>
      </c>
      <c r="B18" s="121">
        <v>12</v>
      </c>
      <c r="C18" s="2"/>
      <c r="D18" s="2"/>
      <c r="G18" s="122">
        <v>11</v>
      </c>
      <c r="H18" s="117"/>
      <c r="I18" s="108"/>
      <c r="J18" s="108"/>
      <c r="L18" s="122">
        <v>12</v>
      </c>
      <c r="M18" s="109"/>
      <c r="N18" s="109"/>
      <c r="Q18" s="122"/>
      <c r="R18" s="109"/>
      <c r="S18" s="109"/>
      <c r="V18" s="122">
        <v>11</v>
      </c>
      <c r="W18" s="117"/>
      <c r="X18" s="108"/>
      <c r="Y18" s="108"/>
      <c r="Z18" s="122">
        <v>11</v>
      </c>
      <c r="AA18" s="117"/>
      <c r="AB18" s="108"/>
      <c r="AD18" s="122">
        <v>10</v>
      </c>
      <c r="AE18" s="117"/>
      <c r="AF18" s="108"/>
      <c r="AH18" s="122">
        <v>10</v>
      </c>
      <c r="AI18" s="117"/>
      <c r="AJ18" s="108"/>
    </row>
    <row r="19" spans="1:36" x14ac:dyDescent="0.35">
      <c r="A19" s="108" t="s">
        <v>15</v>
      </c>
      <c r="B19" s="129">
        <v>10</v>
      </c>
      <c r="C19" s="109">
        <v>10</v>
      </c>
      <c r="D19" s="109"/>
      <c r="G19" s="130">
        <v>10</v>
      </c>
      <c r="H19" s="117">
        <v>10</v>
      </c>
      <c r="I19" s="108"/>
      <c r="J19" s="108"/>
      <c r="L19" s="130">
        <v>10</v>
      </c>
      <c r="M19" s="109">
        <v>10</v>
      </c>
      <c r="N19" s="109"/>
      <c r="O19" s="108"/>
      <c r="Q19" s="130"/>
      <c r="R19" s="109"/>
      <c r="S19" s="109"/>
      <c r="T19" s="108"/>
      <c r="U19" s="108"/>
      <c r="V19" s="130">
        <v>10</v>
      </c>
      <c r="W19" s="117">
        <v>10</v>
      </c>
      <c r="X19" s="108"/>
      <c r="Y19" s="108"/>
      <c r="Z19" s="130">
        <v>5</v>
      </c>
      <c r="AA19" s="117"/>
      <c r="AB19" s="108"/>
      <c r="AD19" s="130">
        <v>10</v>
      </c>
      <c r="AE19" s="117">
        <v>10</v>
      </c>
      <c r="AF19" s="108"/>
      <c r="AH19" s="130">
        <v>10</v>
      </c>
      <c r="AI19" s="117">
        <v>10</v>
      </c>
      <c r="AJ19" s="108"/>
    </row>
    <row r="20" spans="1:36" x14ac:dyDescent="0.35">
      <c r="A20" s="108" t="s">
        <v>16</v>
      </c>
      <c r="B20" s="121">
        <f>B18*B14</f>
        <v>1152</v>
      </c>
      <c r="D20" s="109"/>
      <c r="G20" s="122">
        <f>G18*G14</f>
        <v>1375</v>
      </c>
      <c r="H20" s="117"/>
      <c r="I20" s="108"/>
      <c r="J20" s="108"/>
      <c r="L20" s="122">
        <f>L18*L14</f>
        <v>504</v>
      </c>
      <c r="M20" s="109"/>
      <c r="N20" s="109"/>
      <c r="O20" s="108"/>
      <c r="Q20" s="122"/>
      <c r="R20" s="109"/>
      <c r="S20" s="109"/>
      <c r="T20" s="108"/>
      <c r="U20" s="108"/>
      <c r="V20" s="122">
        <f>V18*V14</f>
        <v>308</v>
      </c>
      <c r="W20" s="117"/>
      <c r="X20" s="108"/>
      <c r="Y20" s="108"/>
      <c r="Z20" s="122">
        <f>Z18*Z14</f>
        <v>319</v>
      </c>
      <c r="AA20" s="117"/>
      <c r="AB20" s="108"/>
      <c r="AD20" s="122">
        <f>AD18*AD14</f>
        <v>220</v>
      </c>
      <c r="AE20" s="117"/>
      <c r="AF20" s="108"/>
      <c r="AH20" s="122">
        <f>AH18*AH14</f>
        <v>85</v>
      </c>
      <c r="AI20" s="117"/>
      <c r="AJ20" s="108"/>
    </row>
    <row r="21" spans="1:36" x14ac:dyDescent="0.35">
      <c r="A21" s="108" t="s">
        <v>17</v>
      </c>
      <c r="B21" s="122">
        <f>B17*(B19/100)+C21</f>
        <v>721.30000000000007</v>
      </c>
      <c r="C21" s="109"/>
      <c r="D21" s="109"/>
      <c r="E21" s="125" t="s">
        <v>18</v>
      </c>
      <c r="G21" s="122">
        <f>G17*(G19/100)</f>
        <v>724.02</v>
      </c>
      <c r="H21" s="126"/>
      <c r="I21" s="126"/>
      <c r="J21" s="125"/>
      <c r="L21" s="122">
        <f>L17*(L19/100)</f>
        <v>293.3</v>
      </c>
      <c r="M21" s="126"/>
      <c r="N21" s="109"/>
      <c r="O21" s="125"/>
      <c r="Q21" s="122"/>
      <c r="R21" s="126">
        <f>R17*(R19/100)</f>
        <v>0</v>
      </c>
      <c r="S21" s="109"/>
      <c r="T21" s="125"/>
      <c r="U21" s="125"/>
      <c r="V21" s="122">
        <f>V17*(V19/100)+W21</f>
        <v>78.2</v>
      </c>
      <c r="W21" s="126"/>
      <c r="X21" s="125"/>
      <c r="Y21" s="125"/>
      <c r="Z21" s="122">
        <f>Z17*(Z19/100)</f>
        <v>18.8</v>
      </c>
      <c r="AA21" s="126"/>
      <c r="AB21" s="125"/>
      <c r="AD21" s="122">
        <f>AD17*(AD19/100)+AE21</f>
        <v>14</v>
      </c>
      <c r="AE21" s="126"/>
      <c r="AF21" s="125"/>
      <c r="AH21" s="122">
        <f>AH17*(AH19/100)+AI21</f>
        <v>12.4</v>
      </c>
      <c r="AI21" s="126"/>
      <c r="AJ21" s="125"/>
    </row>
    <row r="22" spans="1:36" x14ac:dyDescent="0.35">
      <c r="A22" s="108" t="s">
        <v>19</v>
      </c>
      <c r="B22" s="121">
        <f>B20+B21</f>
        <v>1873.3000000000002</v>
      </c>
      <c r="C22" s="109"/>
      <c r="D22" s="109"/>
      <c r="G22" s="122">
        <f>G20+G21</f>
        <v>2099.02</v>
      </c>
      <c r="H22" s="117"/>
      <c r="I22" s="108"/>
      <c r="J22" s="108"/>
      <c r="L22" s="122">
        <f>L20+L21</f>
        <v>797.3</v>
      </c>
      <c r="M22" s="109"/>
      <c r="N22" s="109"/>
      <c r="O22" s="108"/>
      <c r="Q22" s="122"/>
      <c r="R22" s="109"/>
      <c r="S22" s="109"/>
      <c r="T22" s="108"/>
      <c r="U22" s="108"/>
      <c r="V22" s="122">
        <f>V20+V21</f>
        <v>386.2</v>
      </c>
      <c r="W22" s="117"/>
      <c r="Y22" s="108"/>
      <c r="Z22" s="122">
        <f>Z20+Z21</f>
        <v>337.8</v>
      </c>
      <c r="AA22" s="117"/>
      <c r="AB22" s="108"/>
      <c r="AD22" s="122">
        <f>AD20+AD21</f>
        <v>234</v>
      </c>
      <c r="AE22" s="117"/>
      <c r="AF22" s="108"/>
      <c r="AH22" s="122">
        <f>AH20+AH21</f>
        <v>97.4</v>
      </c>
      <c r="AI22" s="117"/>
      <c r="AJ22" s="108"/>
    </row>
    <row r="23" spans="1:36" x14ac:dyDescent="0.35">
      <c r="A23" s="131" t="s">
        <v>20</v>
      </c>
      <c r="B23" s="132"/>
      <c r="C23" s="109"/>
      <c r="D23" s="109"/>
      <c r="G23" s="121"/>
      <c r="H23" s="117"/>
      <c r="I23" s="108"/>
      <c r="J23" s="108"/>
      <c r="L23" s="121"/>
      <c r="M23" s="109"/>
      <c r="N23" s="109"/>
      <c r="O23" s="108"/>
      <c r="Q23" s="121"/>
      <c r="R23" s="109"/>
      <c r="S23" s="109"/>
      <c r="T23" s="108"/>
      <c r="U23" s="108"/>
      <c r="V23" s="121"/>
      <c r="W23" s="117"/>
      <c r="X23" s="108"/>
      <c r="Y23" s="108"/>
      <c r="Z23" s="121"/>
      <c r="AA23" s="117"/>
      <c r="AB23" s="108"/>
      <c r="AD23" s="122"/>
      <c r="AE23" s="117"/>
      <c r="AF23" s="108"/>
      <c r="AH23" s="122"/>
      <c r="AI23" s="117"/>
      <c r="AJ23" s="108"/>
    </row>
    <row r="24" spans="1:36" x14ac:dyDescent="0.35">
      <c r="A24" s="131" t="s">
        <v>21</v>
      </c>
      <c r="B24" s="132"/>
      <c r="C24" s="109"/>
      <c r="D24" s="109"/>
      <c r="G24" s="121"/>
      <c r="H24" s="117"/>
      <c r="I24" s="108"/>
      <c r="J24" s="108"/>
      <c r="L24" s="121"/>
      <c r="M24" s="109"/>
      <c r="N24" s="109"/>
      <c r="O24" s="108"/>
      <c r="Q24" s="121"/>
      <c r="R24" s="109"/>
      <c r="S24" s="108"/>
      <c r="T24" s="108"/>
      <c r="U24" s="108"/>
      <c r="V24" s="121"/>
      <c r="W24" s="117"/>
      <c r="X24" s="108"/>
      <c r="Y24" s="108"/>
      <c r="Z24" s="121"/>
      <c r="AA24" s="117"/>
      <c r="AB24" s="108"/>
      <c r="AD24" s="122"/>
      <c r="AE24" s="117"/>
      <c r="AF24" s="108"/>
      <c r="AH24" s="122"/>
      <c r="AI24" s="117"/>
      <c r="AJ24" s="108"/>
    </row>
    <row r="25" spans="1:36" x14ac:dyDescent="0.35">
      <c r="A25" s="131" t="s">
        <v>22</v>
      </c>
      <c r="B25" s="132"/>
      <c r="C25" s="109"/>
      <c r="D25" s="109"/>
      <c r="G25" s="121"/>
      <c r="H25" s="117"/>
      <c r="I25" s="108"/>
      <c r="J25" s="108"/>
      <c r="L25" s="121"/>
      <c r="M25" s="109"/>
      <c r="N25" s="109"/>
      <c r="O25" s="108"/>
      <c r="Q25" s="121"/>
      <c r="R25" s="109"/>
      <c r="S25" s="109"/>
      <c r="T25" s="108"/>
      <c r="U25" s="108"/>
      <c r="V25" s="121"/>
      <c r="W25" s="117"/>
      <c r="X25" s="108"/>
      <c r="Y25" s="108"/>
      <c r="Z25" s="121"/>
      <c r="AA25" s="117"/>
      <c r="AB25" s="108"/>
      <c r="AD25" s="122"/>
      <c r="AE25" s="117"/>
      <c r="AF25" s="108"/>
      <c r="AH25" s="122"/>
      <c r="AI25" s="117"/>
      <c r="AJ25" s="108"/>
    </row>
    <row r="26" spans="1:36" x14ac:dyDescent="0.35">
      <c r="A26" s="108" t="s">
        <v>23</v>
      </c>
      <c r="B26" s="121"/>
      <c r="C26" s="109"/>
      <c r="D26" s="109"/>
      <c r="G26" s="121"/>
      <c r="H26" s="117"/>
      <c r="I26" s="108"/>
      <c r="J26" s="108"/>
      <c r="L26" s="133">
        <v>200</v>
      </c>
      <c r="M26" s="109"/>
      <c r="N26" s="109"/>
      <c r="O26" s="108"/>
      <c r="Q26" s="133"/>
      <c r="R26" s="109"/>
      <c r="S26" s="109"/>
      <c r="T26" s="108"/>
      <c r="U26" s="108"/>
      <c r="V26" s="121"/>
      <c r="W26" s="117"/>
      <c r="X26" s="108"/>
      <c r="Y26" s="108"/>
      <c r="Z26" s="121"/>
      <c r="AA26" s="117"/>
      <c r="AB26" s="108"/>
      <c r="AD26" s="122"/>
      <c r="AE26" s="117"/>
      <c r="AF26" s="108"/>
      <c r="AH26" s="122"/>
      <c r="AI26" s="117"/>
      <c r="AJ26" s="108"/>
    </row>
    <row r="27" spans="1:36" x14ac:dyDescent="0.35">
      <c r="A27" s="108" t="s">
        <v>24</v>
      </c>
      <c r="B27" s="134">
        <f>B22-B24+B26</f>
        <v>1873.3000000000002</v>
      </c>
      <c r="C27" s="109"/>
      <c r="D27" s="109"/>
      <c r="G27" s="135">
        <f>G22-G25+G26</f>
        <v>2099.02</v>
      </c>
      <c r="H27" s="117"/>
      <c r="I27" s="108"/>
      <c r="J27" s="108"/>
      <c r="L27" s="135">
        <f>L22+L26</f>
        <v>997.3</v>
      </c>
      <c r="O27" s="108"/>
      <c r="Q27" s="135"/>
      <c r="T27" s="108"/>
      <c r="U27" s="108"/>
      <c r="V27" s="135">
        <f>V22-V25+V26</f>
        <v>386.2</v>
      </c>
      <c r="W27" s="117"/>
      <c r="X27" s="108"/>
      <c r="Y27" s="108"/>
      <c r="Z27" s="135">
        <f>Z22-Z25+Z26</f>
        <v>337.8</v>
      </c>
      <c r="AA27" s="117"/>
      <c r="AB27" s="108"/>
      <c r="AD27" s="135">
        <f>AD22-AD25+AD26</f>
        <v>234</v>
      </c>
      <c r="AE27" s="117"/>
      <c r="AF27" s="108"/>
      <c r="AH27" s="135">
        <f>AH22-AH25+AH26</f>
        <v>97.4</v>
      </c>
      <c r="AI27" s="117"/>
      <c r="AJ27" s="108"/>
    </row>
    <row r="28" spans="1:36" x14ac:dyDescent="0.35">
      <c r="A28" s="108"/>
      <c r="B28" s="108"/>
      <c r="C28" s="109"/>
      <c r="D28" s="109"/>
      <c r="G28" s="108"/>
      <c r="H28" s="117"/>
      <c r="I28" s="108"/>
      <c r="J28" s="108"/>
      <c r="L28" s="108"/>
      <c r="M28" s="109"/>
      <c r="N28" s="109"/>
      <c r="O28" s="108"/>
      <c r="Q28" s="108"/>
      <c r="R28" s="109"/>
      <c r="S28" s="109"/>
      <c r="T28" s="108"/>
      <c r="U28" s="108"/>
      <c r="V28" s="136"/>
      <c r="W28" s="136"/>
      <c r="Z28" s="136"/>
      <c r="AA28" s="136"/>
    </row>
    <row r="29" spans="1:36" ht="36" customHeight="1" x14ac:dyDescent="0.35">
      <c r="A29" s="108" t="s">
        <v>25</v>
      </c>
      <c r="B29" s="137" t="s">
        <v>26</v>
      </c>
      <c r="C29" s="138" t="s">
        <v>27</v>
      </c>
      <c r="D29" s="89" t="s">
        <v>42</v>
      </c>
      <c r="E29" s="140" t="s">
        <v>29</v>
      </c>
      <c r="F29" s="141" t="s">
        <v>30</v>
      </c>
      <c r="G29" s="137" t="s">
        <v>26</v>
      </c>
      <c r="H29" s="138" t="s">
        <v>27</v>
      </c>
      <c r="I29" s="139" t="s">
        <v>42</v>
      </c>
      <c r="J29" s="140" t="s">
        <v>29</v>
      </c>
      <c r="L29" s="137" t="s">
        <v>26</v>
      </c>
      <c r="M29" s="142" t="s">
        <v>27</v>
      </c>
      <c r="N29" s="139" t="s">
        <v>42</v>
      </c>
      <c r="O29" s="140" t="s">
        <v>29</v>
      </c>
      <c r="Q29" s="137" t="s">
        <v>26</v>
      </c>
      <c r="R29" s="142" t="s">
        <v>27</v>
      </c>
      <c r="S29" s="139" t="s">
        <v>42</v>
      </c>
      <c r="T29" s="140" t="s">
        <v>29</v>
      </c>
      <c r="U29" s="143"/>
      <c r="V29" s="137" t="s">
        <v>26</v>
      </c>
      <c r="W29" s="142" t="s">
        <v>27</v>
      </c>
      <c r="X29" s="140" t="s">
        <v>29</v>
      </c>
      <c r="Y29" s="143"/>
      <c r="Z29" s="137" t="s">
        <v>26</v>
      </c>
      <c r="AA29" s="142" t="s">
        <v>27</v>
      </c>
      <c r="AB29" s="140" t="s">
        <v>29</v>
      </c>
      <c r="AD29" s="144" t="s">
        <v>26</v>
      </c>
      <c r="AE29" s="142" t="s">
        <v>27</v>
      </c>
      <c r="AF29" s="140" t="s">
        <v>29</v>
      </c>
      <c r="AH29" s="144" t="s">
        <v>26</v>
      </c>
      <c r="AI29" s="139" t="s">
        <v>42</v>
      </c>
      <c r="AJ29" s="140" t="s">
        <v>29</v>
      </c>
    </row>
    <row r="30" spans="1:36" x14ac:dyDescent="0.35">
      <c r="A30" s="145">
        <v>45931</v>
      </c>
      <c r="B30" s="76"/>
      <c r="C30" s="61"/>
      <c r="D30" s="77"/>
      <c r="E30" s="147"/>
      <c r="F30" s="147"/>
      <c r="G30" s="76"/>
      <c r="H30" s="148"/>
      <c r="I30" s="77"/>
      <c r="J30" s="149"/>
      <c r="K30" s="149"/>
      <c r="L30" s="146"/>
      <c r="M30" s="147"/>
      <c r="N30" s="147"/>
      <c r="O30" s="147"/>
      <c r="P30" s="149"/>
      <c r="Q30" s="146"/>
      <c r="R30" s="147"/>
      <c r="S30" s="147"/>
      <c r="T30" s="147"/>
      <c r="U30" s="147"/>
      <c r="V30" s="150"/>
      <c r="X30" s="151"/>
      <c r="Y30" s="151"/>
      <c r="Z30" s="152"/>
      <c r="AA30" s="151"/>
      <c r="AB30" s="151"/>
      <c r="AD30" s="76"/>
      <c r="AE30" s="77"/>
      <c r="AH30" s="76"/>
    </row>
    <row r="31" spans="1:36" x14ac:dyDescent="0.35">
      <c r="A31" s="145">
        <v>45932</v>
      </c>
      <c r="B31" s="76"/>
      <c r="C31" s="61"/>
      <c r="D31" s="61"/>
      <c r="E31" s="147"/>
      <c r="F31" s="147"/>
      <c r="G31" s="76"/>
      <c r="H31" s="148"/>
      <c r="I31" s="77"/>
      <c r="J31" s="149"/>
      <c r="K31" s="149"/>
      <c r="L31" s="146">
        <v>5</v>
      </c>
      <c r="M31" s="147"/>
      <c r="N31" s="147">
        <v>140</v>
      </c>
      <c r="O31" s="147"/>
      <c r="P31" s="149"/>
      <c r="Q31" s="146"/>
      <c r="R31" s="147"/>
      <c r="S31" s="147"/>
      <c r="T31" s="147"/>
      <c r="U31" s="147"/>
      <c r="V31" s="150"/>
      <c r="W31" s="151"/>
      <c r="X31" s="151"/>
      <c r="Y31" s="151"/>
      <c r="Z31" s="152"/>
      <c r="AA31" s="151"/>
      <c r="AB31" s="151"/>
      <c r="AD31" s="76"/>
      <c r="AE31" s="77"/>
      <c r="AH31" s="76"/>
      <c r="AI31" s="77"/>
    </row>
    <row r="32" spans="1:36" x14ac:dyDescent="0.35">
      <c r="A32" s="145">
        <v>45933</v>
      </c>
      <c r="B32" s="76">
        <v>12</v>
      </c>
      <c r="C32" s="61"/>
      <c r="D32" s="77">
        <v>143</v>
      </c>
      <c r="E32" s="147"/>
      <c r="F32" s="149"/>
      <c r="G32" s="76"/>
      <c r="H32" s="61"/>
      <c r="I32" s="77"/>
      <c r="J32" s="149"/>
      <c r="K32" s="149"/>
      <c r="L32" s="146"/>
      <c r="M32" s="147"/>
      <c r="N32" s="147"/>
      <c r="O32" s="147"/>
      <c r="P32" s="149"/>
      <c r="Q32" s="146"/>
      <c r="R32" s="147"/>
      <c r="S32" s="147"/>
      <c r="T32" s="147"/>
      <c r="U32" s="147"/>
      <c r="V32" s="150"/>
      <c r="W32" s="151"/>
      <c r="X32" s="151"/>
      <c r="Y32" s="151"/>
      <c r="Z32" s="152"/>
      <c r="AA32" s="151"/>
      <c r="AB32" s="151"/>
      <c r="AD32" s="76"/>
      <c r="AE32" s="77"/>
      <c r="AH32" s="76"/>
      <c r="AI32" s="77"/>
    </row>
    <row r="33" spans="1:35" x14ac:dyDescent="0.35">
      <c r="A33" s="145">
        <v>45934</v>
      </c>
      <c r="B33" s="76">
        <v>12</v>
      </c>
      <c r="C33" s="61"/>
      <c r="D33" s="77">
        <v>945</v>
      </c>
      <c r="E33" s="147"/>
      <c r="F33" s="149"/>
      <c r="G33" s="76"/>
      <c r="H33" s="148"/>
      <c r="I33" s="77"/>
      <c r="J33" s="149"/>
      <c r="K33" s="149"/>
      <c r="L33" s="146"/>
      <c r="M33" s="147"/>
      <c r="N33" s="147"/>
      <c r="O33" s="147"/>
      <c r="P33" s="149"/>
      <c r="Q33" s="146"/>
      <c r="R33" s="147"/>
      <c r="S33" s="147"/>
      <c r="T33" s="147"/>
      <c r="U33" s="147"/>
      <c r="V33" s="75"/>
      <c r="W33" s="151"/>
      <c r="X33" s="151"/>
      <c r="Y33" s="151"/>
      <c r="Z33" s="75"/>
      <c r="AA33" s="151"/>
      <c r="AB33" s="151"/>
      <c r="AD33" s="76"/>
      <c r="AE33" s="77"/>
      <c r="AH33" s="76"/>
      <c r="AI33" s="77"/>
    </row>
    <row r="34" spans="1:35" x14ac:dyDescent="0.35">
      <c r="A34" s="145">
        <v>45935</v>
      </c>
      <c r="B34" s="76"/>
      <c r="C34" s="61"/>
      <c r="D34" s="77"/>
      <c r="E34" s="147"/>
      <c r="F34" s="149"/>
      <c r="G34" s="76"/>
      <c r="H34" s="148"/>
      <c r="I34" s="77"/>
      <c r="J34" s="149"/>
      <c r="K34" s="149"/>
      <c r="L34" s="146">
        <v>6.5</v>
      </c>
      <c r="M34" s="147"/>
      <c r="N34" s="147">
        <v>493</v>
      </c>
      <c r="Q34" s="146"/>
      <c r="R34" s="147"/>
      <c r="V34" s="150"/>
      <c r="W34" s="151"/>
      <c r="Z34" s="75"/>
      <c r="AD34" s="76"/>
      <c r="AE34" s="77"/>
      <c r="AH34" s="76"/>
      <c r="AI34" s="77"/>
    </row>
    <row r="35" spans="1:35" x14ac:dyDescent="0.35">
      <c r="A35" s="145">
        <v>45936</v>
      </c>
      <c r="B35" s="76"/>
      <c r="C35" s="61"/>
      <c r="D35" s="77"/>
      <c r="E35" s="147"/>
      <c r="F35" s="149"/>
      <c r="G35" s="76"/>
      <c r="H35" s="148"/>
      <c r="I35" s="77"/>
      <c r="J35" s="149"/>
      <c r="K35" s="149"/>
      <c r="L35" s="146"/>
      <c r="M35" s="147"/>
      <c r="N35" s="147"/>
      <c r="Q35" s="146"/>
      <c r="R35" s="147"/>
      <c r="S35" s="61"/>
      <c r="V35" s="150"/>
      <c r="W35" s="151"/>
      <c r="X35" s="151"/>
      <c r="Z35" s="75"/>
      <c r="AD35" s="76"/>
      <c r="AE35" s="77"/>
      <c r="AH35" s="76"/>
      <c r="AI35" s="77"/>
    </row>
    <row r="36" spans="1:35" x14ac:dyDescent="0.35">
      <c r="A36" s="145">
        <v>45937</v>
      </c>
      <c r="B36" s="76">
        <v>12</v>
      </c>
      <c r="C36" s="61"/>
      <c r="D36" s="77">
        <v>0</v>
      </c>
      <c r="E36" s="147"/>
      <c r="F36" s="149"/>
      <c r="G36" s="76"/>
      <c r="H36" s="148"/>
      <c r="I36" s="77"/>
      <c r="J36" s="149"/>
      <c r="K36" s="149"/>
      <c r="L36" s="146"/>
      <c r="M36" s="147"/>
      <c r="N36" s="147"/>
      <c r="Q36" s="146"/>
      <c r="R36" s="147"/>
      <c r="S36" s="147"/>
      <c r="V36" s="150"/>
      <c r="W36" s="147"/>
      <c r="Z36" s="75"/>
      <c r="AA36" s="147"/>
      <c r="AD36" s="76"/>
      <c r="AE36" s="77"/>
      <c r="AH36" s="76"/>
      <c r="AI36" s="77"/>
    </row>
    <row r="37" spans="1:35" x14ac:dyDescent="0.35">
      <c r="A37" s="145">
        <v>45938</v>
      </c>
      <c r="B37" s="76">
        <v>12</v>
      </c>
      <c r="C37" s="61"/>
      <c r="D37" s="77">
        <v>817</v>
      </c>
      <c r="E37" s="147"/>
      <c r="F37" s="149"/>
      <c r="G37" s="76"/>
      <c r="H37" s="148"/>
      <c r="I37" s="77"/>
      <c r="J37" s="149"/>
      <c r="K37" s="149"/>
      <c r="L37" s="146"/>
      <c r="M37" s="147"/>
      <c r="Q37" s="146"/>
      <c r="R37" s="147"/>
      <c r="V37" s="75"/>
      <c r="W37" s="147"/>
      <c r="Z37" s="75"/>
      <c r="AD37" s="76"/>
      <c r="AE37" s="77"/>
      <c r="AH37" s="76"/>
      <c r="AI37" s="77"/>
    </row>
    <row r="38" spans="1:35" x14ac:dyDescent="0.35">
      <c r="A38" s="145">
        <v>45939</v>
      </c>
      <c r="B38" s="76"/>
      <c r="C38" s="61"/>
      <c r="D38" s="77"/>
      <c r="E38" s="147"/>
      <c r="F38" s="149"/>
      <c r="G38" s="76"/>
      <c r="H38" s="148"/>
      <c r="I38" s="77"/>
      <c r="K38" s="149"/>
      <c r="L38" s="146">
        <v>9</v>
      </c>
      <c r="M38" s="147"/>
      <c r="N38" s="147">
        <v>1220</v>
      </c>
      <c r="Q38" s="146"/>
      <c r="R38" s="147"/>
      <c r="S38" s="147"/>
      <c r="V38" s="75"/>
      <c r="W38" s="151"/>
      <c r="Z38" s="75"/>
      <c r="AD38" s="76"/>
      <c r="AE38" s="77"/>
      <c r="AH38" s="76"/>
      <c r="AI38" s="77"/>
    </row>
    <row r="39" spans="1:35" ht="15" customHeight="1" x14ac:dyDescent="0.35">
      <c r="A39" s="145">
        <v>45940</v>
      </c>
      <c r="B39" s="76">
        <v>11</v>
      </c>
      <c r="C39" s="61"/>
      <c r="D39" s="77">
        <v>1674</v>
      </c>
      <c r="E39" s="147"/>
      <c r="F39" s="149"/>
      <c r="G39" s="76"/>
      <c r="H39" s="148"/>
      <c r="I39" s="77"/>
      <c r="J39" s="149"/>
      <c r="K39" s="149"/>
      <c r="L39" s="146"/>
      <c r="M39" s="147"/>
      <c r="N39" s="147"/>
      <c r="Q39" s="146"/>
      <c r="R39" s="147"/>
      <c r="S39" s="147"/>
      <c r="V39" s="150"/>
      <c r="W39" s="147"/>
      <c r="Z39" s="75"/>
      <c r="AD39" s="76"/>
      <c r="AE39" s="77"/>
      <c r="AH39" s="76"/>
      <c r="AI39" s="77"/>
    </row>
    <row r="40" spans="1:35" x14ac:dyDescent="0.35">
      <c r="A40" s="145">
        <v>45941</v>
      </c>
      <c r="B40" s="76">
        <v>13</v>
      </c>
      <c r="C40" s="61"/>
      <c r="D40" s="77">
        <v>2082</v>
      </c>
      <c r="E40" s="147"/>
      <c r="F40" s="149"/>
      <c r="G40" s="76"/>
      <c r="H40" s="148"/>
      <c r="I40" s="77"/>
      <c r="J40" s="149"/>
      <c r="K40" s="149"/>
      <c r="L40" s="146"/>
      <c r="M40" s="147"/>
      <c r="N40" s="147"/>
      <c r="Q40" s="146"/>
      <c r="R40" s="147"/>
      <c r="S40" s="147"/>
      <c r="V40" s="150"/>
      <c r="W40" s="151"/>
      <c r="X40" s="147"/>
      <c r="Z40" s="75"/>
      <c r="AD40" s="76"/>
      <c r="AE40" s="77"/>
      <c r="AH40" s="76"/>
      <c r="AI40" s="77"/>
    </row>
    <row r="41" spans="1:35" x14ac:dyDescent="0.35">
      <c r="A41" s="145">
        <v>45942</v>
      </c>
      <c r="B41" s="76"/>
      <c r="C41" s="61"/>
      <c r="D41" s="77">
        <v>350</v>
      </c>
      <c r="E41" s="147"/>
      <c r="F41" s="149"/>
      <c r="G41" s="76"/>
      <c r="H41" s="148"/>
      <c r="I41" s="77"/>
      <c r="J41" s="149"/>
      <c r="K41" s="149"/>
      <c r="L41" s="146">
        <v>8</v>
      </c>
      <c r="M41" s="147"/>
      <c r="N41" s="147">
        <v>460</v>
      </c>
      <c r="Q41" s="146"/>
      <c r="R41" s="147"/>
      <c r="S41" s="147"/>
      <c r="V41" s="150"/>
      <c r="W41" s="147"/>
      <c r="AD41" s="76"/>
      <c r="AE41" s="77"/>
      <c r="AH41" s="76"/>
      <c r="AI41" s="77"/>
    </row>
    <row r="42" spans="1:35" x14ac:dyDescent="0.35">
      <c r="A42" s="145">
        <v>45943</v>
      </c>
      <c r="B42" s="76">
        <v>12</v>
      </c>
      <c r="C42" s="61"/>
      <c r="D42" s="77">
        <v>852</v>
      </c>
      <c r="E42" s="147"/>
      <c r="F42" s="149"/>
      <c r="G42" s="76"/>
      <c r="H42" s="148"/>
      <c r="I42" s="77"/>
      <c r="J42" s="149"/>
      <c r="K42" s="149"/>
      <c r="L42" s="146"/>
      <c r="M42" s="147"/>
      <c r="N42" s="147"/>
      <c r="Q42" s="146"/>
      <c r="R42" s="147"/>
      <c r="S42" s="147"/>
      <c r="V42" s="75"/>
      <c r="W42" s="147"/>
      <c r="Z42" s="75"/>
      <c r="AD42" s="76"/>
      <c r="AE42" s="77"/>
      <c r="AH42" s="76"/>
      <c r="AI42" s="77"/>
    </row>
    <row r="43" spans="1:35" x14ac:dyDescent="0.35">
      <c r="A43" s="145">
        <v>45944</v>
      </c>
      <c r="B43" s="76"/>
      <c r="C43" s="61"/>
      <c r="D43" s="77"/>
      <c r="E43" s="147"/>
      <c r="F43" s="149"/>
      <c r="G43" s="76">
        <v>10</v>
      </c>
      <c r="H43" s="148"/>
      <c r="I43" s="77">
        <v>450</v>
      </c>
      <c r="J43" s="147"/>
      <c r="K43" s="149"/>
      <c r="L43" s="146"/>
      <c r="M43" s="147"/>
      <c r="N43" s="147"/>
      <c r="Q43" s="146"/>
      <c r="R43" s="147"/>
      <c r="V43" s="75"/>
      <c r="W43" s="151"/>
      <c r="Z43" s="75"/>
      <c r="AD43" s="76"/>
      <c r="AE43" s="77"/>
      <c r="AH43" s="76"/>
      <c r="AI43" s="77"/>
    </row>
    <row r="44" spans="1:35" x14ac:dyDescent="0.35">
      <c r="A44" s="145">
        <v>45945</v>
      </c>
      <c r="B44" s="76"/>
      <c r="C44" s="61"/>
      <c r="D44" s="77"/>
      <c r="E44" s="147"/>
      <c r="F44" s="149"/>
      <c r="G44" s="76">
        <v>9.5</v>
      </c>
      <c r="H44" s="148"/>
      <c r="I44" s="77">
        <v>681</v>
      </c>
      <c r="J44" s="149"/>
      <c r="K44" s="149"/>
      <c r="L44" s="146"/>
      <c r="M44" s="147"/>
      <c r="Q44" s="146"/>
      <c r="R44" s="147"/>
      <c r="S44" s="147"/>
      <c r="V44" s="104"/>
      <c r="AD44" s="76"/>
      <c r="AE44" s="77"/>
      <c r="AH44" s="76"/>
      <c r="AI44" s="77"/>
    </row>
    <row r="45" spans="1:35" x14ac:dyDescent="0.35">
      <c r="A45" s="145">
        <v>45946</v>
      </c>
      <c r="B45" s="76"/>
      <c r="C45" s="61"/>
      <c r="D45" s="77"/>
      <c r="E45" s="147"/>
      <c r="F45" s="149"/>
      <c r="G45" s="76"/>
      <c r="H45" s="148"/>
      <c r="I45" s="77"/>
      <c r="J45" s="149"/>
      <c r="K45" s="149"/>
      <c r="L45" s="146">
        <v>7</v>
      </c>
      <c r="M45" s="147"/>
      <c r="N45" s="77">
        <v>0</v>
      </c>
      <c r="O45" s="147"/>
      <c r="Q45" s="146"/>
      <c r="R45" s="147"/>
      <c r="S45" s="147"/>
      <c r="T45" s="147"/>
      <c r="V45" s="104"/>
      <c r="AD45" s="76"/>
      <c r="AE45" s="77"/>
      <c r="AH45" s="76"/>
      <c r="AI45" s="77"/>
    </row>
    <row r="46" spans="1:35" x14ac:dyDescent="0.35">
      <c r="A46" s="145">
        <v>45947</v>
      </c>
      <c r="B46" s="76">
        <v>12</v>
      </c>
      <c r="C46" s="61"/>
      <c r="D46" s="77">
        <v>350</v>
      </c>
      <c r="E46" s="147"/>
      <c r="F46" s="149"/>
      <c r="G46" s="76"/>
      <c r="H46" s="148"/>
      <c r="I46" s="77"/>
      <c r="J46" s="149"/>
      <c r="K46" s="149"/>
      <c r="L46" s="146"/>
      <c r="M46" s="147"/>
      <c r="N46" s="147"/>
      <c r="Q46" s="146"/>
      <c r="R46" s="147"/>
      <c r="S46" s="147"/>
      <c r="V46" s="104"/>
      <c r="Z46" s="75"/>
      <c r="AA46" s="147"/>
      <c r="AD46" s="76"/>
      <c r="AE46" s="77"/>
      <c r="AH46" s="76"/>
      <c r="AI46" s="77"/>
    </row>
    <row r="47" spans="1:35" x14ac:dyDescent="0.35">
      <c r="A47" s="145">
        <v>45948</v>
      </c>
      <c r="B47" s="76"/>
      <c r="C47" s="61"/>
      <c r="D47" s="77"/>
      <c r="E47" s="147"/>
      <c r="F47" s="149"/>
      <c r="G47" s="76">
        <v>11.5</v>
      </c>
      <c r="H47" s="148"/>
      <c r="I47" s="77">
        <v>1259.2</v>
      </c>
      <c r="J47" s="149"/>
      <c r="K47" s="149"/>
      <c r="L47" s="146"/>
      <c r="M47" s="147"/>
      <c r="Q47" s="146"/>
      <c r="R47" s="147"/>
      <c r="S47" s="147"/>
      <c r="V47" s="75"/>
      <c r="W47" s="147"/>
      <c r="Z47" s="75"/>
      <c r="AA47" s="147"/>
      <c r="AD47" s="76"/>
      <c r="AE47" s="77"/>
      <c r="AH47" s="76"/>
      <c r="AI47" s="77"/>
    </row>
    <row r="48" spans="1:35" x14ac:dyDescent="0.35">
      <c r="A48" s="145">
        <v>45949</v>
      </c>
      <c r="B48" s="76"/>
      <c r="C48" s="61"/>
      <c r="D48" s="77"/>
      <c r="E48" s="147"/>
      <c r="F48" s="149"/>
      <c r="G48" s="76"/>
      <c r="H48" s="148"/>
      <c r="I48" s="77"/>
      <c r="J48" s="147"/>
      <c r="K48" s="149"/>
      <c r="L48" s="146">
        <v>6.5</v>
      </c>
      <c r="M48" s="147"/>
      <c r="N48" s="147">
        <v>620</v>
      </c>
      <c r="Q48" s="146"/>
      <c r="R48" s="147"/>
      <c r="V48" s="150"/>
      <c r="W48" s="147"/>
      <c r="Z48" s="75"/>
      <c r="AA48" s="147"/>
      <c r="AD48" s="76"/>
      <c r="AE48" s="77"/>
      <c r="AH48" s="76"/>
      <c r="AI48" s="77"/>
    </row>
    <row r="49" spans="1:35" x14ac:dyDescent="0.35">
      <c r="A49" s="145">
        <v>45950</v>
      </c>
      <c r="B49" s="76"/>
      <c r="C49" s="61"/>
      <c r="D49" s="77"/>
      <c r="E49" s="147"/>
      <c r="F49" s="149"/>
      <c r="G49" s="76">
        <v>8</v>
      </c>
      <c r="H49" s="148"/>
      <c r="I49" s="77">
        <v>256</v>
      </c>
      <c r="J49" s="149"/>
      <c r="K49" s="149"/>
      <c r="L49" s="146"/>
      <c r="M49" s="147"/>
      <c r="N49" s="147"/>
      <c r="R49" s="77"/>
      <c r="S49" s="147"/>
      <c r="V49" s="153"/>
      <c r="W49" s="147"/>
      <c r="Z49" s="75"/>
      <c r="AD49" s="76"/>
      <c r="AE49" s="77"/>
      <c r="AH49" s="76"/>
      <c r="AI49" s="77"/>
    </row>
    <row r="50" spans="1:35" x14ac:dyDescent="0.35">
      <c r="A50" s="145">
        <v>45951</v>
      </c>
      <c r="B50" s="76"/>
      <c r="C50" s="61"/>
      <c r="D50" s="77"/>
      <c r="E50" s="147"/>
      <c r="F50" s="149"/>
      <c r="G50" s="76">
        <v>7</v>
      </c>
      <c r="H50" s="148"/>
      <c r="I50" s="77">
        <v>1066</v>
      </c>
      <c r="J50" s="149"/>
      <c r="K50" s="149"/>
      <c r="L50" s="146"/>
      <c r="M50" s="147"/>
      <c r="N50" s="147"/>
      <c r="S50" s="147"/>
      <c r="V50" s="153"/>
      <c r="W50" s="147"/>
      <c r="AD50" s="76"/>
      <c r="AE50" s="77"/>
      <c r="AH50" s="76"/>
      <c r="AI50" s="77"/>
    </row>
    <row r="51" spans="1:35" x14ac:dyDescent="0.35">
      <c r="A51" s="145">
        <v>45952</v>
      </c>
      <c r="B51" s="76"/>
      <c r="C51" s="61"/>
      <c r="D51" s="77"/>
      <c r="E51" s="147"/>
      <c r="F51" s="149"/>
      <c r="G51" s="76">
        <v>7.5</v>
      </c>
      <c r="H51" s="148"/>
      <c r="I51" s="77">
        <v>0</v>
      </c>
      <c r="J51" s="147"/>
      <c r="K51" s="149"/>
      <c r="L51" s="146"/>
      <c r="M51" s="147"/>
      <c r="N51" s="147"/>
      <c r="O51" s="147"/>
      <c r="S51" s="147"/>
      <c r="T51" s="147"/>
      <c r="U51" s="147"/>
      <c r="V51" s="153"/>
      <c r="X51" s="147"/>
      <c r="AD51" s="76"/>
      <c r="AE51" s="77"/>
      <c r="AH51" s="76"/>
      <c r="AI51" s="77"/>
    </row>
    <row r="52" spans="1:35" x14ac:dyDescent="0.35">
      <c r="A52" s="145">
        <v>45953</v>
      </c>
      <c r="B52" s="76"/>
      <c r="C52" s="61"/>
      <c r="D52" s="77"/>
      <c r="E52" s="147"/>
      <c r="F52" s="149"/>
      <c r="G52" s="76">
        <v>11.5</v>
      </c>
      <c r="H52" s="148"/>
      <c r="I52" s="77">
        <v>1244</v>
      </c>
      <c r="J52" s="147"/>
      <c r="K52" s="149"/>
      <c r="L52" s="146"/>
      <c r="M52" s="147"/>
      <c r="R52" s="16"/>
      <c r="S52" s="147"/>
      <c r="V52" s="153"/>
      <c r="W52" s="147"/>
      <c r="Z52" s="159">
        <v>2</v>
      </c>
      <c r="AD52" s="76"/>
      <c r="AE52" s="77"/>
      <c r="AH52" s="76"/>
      <c r="AI52" s="77"/>
    </row>
    <row r="53" spans="1:35" x14ac:dyDescent="0.35">
      <c r="A53" s="145">
        <v>45954</v>
      </c>
      <c r="B53" s="76"/>
      <c r="C53" s="61"/>
      <c r="D53" s="77"/>
      <c r="E53" s="147"/>
      <c r="F53" s="149"/>
      <c r="G53" s="76">
        <v>8.5</v>
      </c>
      <c r="H53" s="148"/>
      <c r="I53" s="77">
        <v>240</v>
      </c>
      <c r="J53" s="149"/>
      <c r="K53" s="149"/>
      <c r="L53" s="146"/>
      <c r="M53" s="147"/>
      <c r="N53" s="147"/>
      <c r="O53" s="16"/>
      <c r="T53" s="16"/>
      <c r="U53" s="16"/>
      <c r="V53" s="153">
        <v>9</v>
      </c>
      <c r="W53" s="147">
        <v>390</v>
      </c>
      <c r="AD53" s="76"/>
      <c r="AE53" s="77"/>
      <c r="AH53" s="76"/>
      <c r="AI53" s="77"/>
    </row>
    <row r="54" spans="1:35" x14ac:dyDescent="0.35">
      <c r="A54" s="145">
        <v>45955</v>
      </c>
      <c r="B54" s="76"/>
      <c r="C54" s="61"/>
      <c r="D54" s="77"/>
      <c r="E54" s="147"/>
      <c r="F54" s="149"/>
      <c r="G54" s="76">
        <v>11.5</v>
      </c>
      <c r="H54" s="148"/>
      <c r="I54" s="77">
        <v>240</v>
      </c>
      <c r="J54" s="149"/>
      <c r="K54" s="149"/>
      <c r="L54" s="146"/>
      <c r="M54" s="147"/>
      <c r="N54" s="147"/>
      <c r="V54" s="153"/>
      <c r="W54" s="147"/>
      <c r="Z54" s="75"/>
      <c r="AD54" s="76">
        <v>11</v>
      </c>
      <c r="AE54" s="77">
        <v>140</v>
      </c>
      <c r="AH54" s="76"/>
      <c r="AI54" s="77"/>
    </row>
    <row r="55" spans="1:35" x14ac:dyDescent="0.35">
      <c r="A55" s="145">
        <v>45956</v>
      </c>
      <c r="B55" s="76"/>
      <c r="C55" s="61"/>
      <c r="D55" s="77"/>
      <c r="E55" s="147"/>
      <c r="F55" s="149"/>
      <c r="G55" s="76"/>
      <c r="H55" s="148"/>
      <c r="I55" s="77"/>
      <c r="J55" s="149"/>
      <c r="K55" s="149"/>
      <c r="L55" s="146"/>
      <c r="M55" s="147"/>
      <c r="S55" s="147"/>
      <c r="V55" s="153"/>
      <c r="W55" s="147"/>
      <c r="Z55" s="75"/>
      <c r="AD55" s="76">
        <v>11</v>
      </c>
      <c r="AE55" s="77">
        <v>0</v>
      </c>
      <c r="AH55" s="76"/>
      <c r="AI55" s="77"/>
    </row>
    <row r="56" spans="1:35" x14ac:dyDescent="0.35">
      <c r="A56" s="145">
        <v>45957</v>
      </c>
      <c r="B56" s="76"/>
      <c r="C56" s="61"/>
      <c r="D56" s="77"/>
      <c r="E56" s="147"/>
      <c r="F56" s="149"/>
      <c r="G56" s="76">
        <v>8</v>
      </c>
      <c r="H56" s="148"/>
      <c r="I56" s="77">
        <v>460</v>
      </c>
      <c r="J56" s="154"/>
      <c r="K56" s="149"/>
      <c r="L56" s="146"/>
      <c r="M56" s="147"/>
      <c r="N56" s="147"/>
      <c r="V56" s="153"/>
      <c r="W56" s="147"/>
      <c r="Z56" s="75">
        <v>9</v>
      </c>
      <c r="AA56" s="147">
        <v>0</v>
      </c>
      <c r="AD56" s="76"/>
      <c r="AE56" s="77"/>
      <c r="AH56" s="76"/>
      <c r="AI56" s="77"/>
    </row>
    <row r="57" spans="1:35" x14ac:dyDescent="0.35">
      <c r="A57" s="145">
        <v>45958</v>
      </c>
      <c r="B57" s="76"/>
      <c r="C57" s="61"/>
      <c r="D57" s="77"/>
      <c r="E57" s="147"/>
      <c r="F57" s="149"/>
      <c r="G57" s="76">
        <v>8.5</v>
      </c>
      <c r="H57" s="148"/>
      <c r="I57" s="77">
        <v>364</v>
      </c>
      <c r="J57" s="149"/>
      <c r="K57" s="149"/>
      <c r="L57" s="146"/>
      <c r="M57" s="147"/>
      <c r="N57" s="147"/>
      <c r="O57" s="147"/>
      <c r="V57" s="153"/>
      <c r="W57" s="147"/>
      <c r="Z57" s="75">
        <v>9</v>
      </c>
      <c r="AA57" s="147">
        <v>196</v>
      </c>
      <c r="AD57" s="76"/>
      <c r="AE57" s="77"/>
      <c r="AH57" s="76"/>
      <c r="AI57" s="77"/>
    </row>
    <row r="58" spans="1:35" x14ac:dyDescent="0.35">
      <c r="A58" s="145">
        <v>45959</v>
      </c>
      <c r="B58" s="76"/>
      <c r="C58" s="61"/>
      <c r="D58" s="77"/>
      <c r="E58" s="147"/>
      <c r="F58" s="149"/>
      <c r="G58" s="76">
        <v>8.5</v>
      </c>
      <c r="H58" s="148"/>
      <c r="I58" s="77">
        <v>10</v>
      </c>
      <c r="J58" s="149"/>
      <c r="K58" s="149"/>
      <c r="L58" s="153"/>
      <c r="M58" s="147"/>
      <c r="N58" s="147"/>
      <c r="S58" s="147"/>
      <c r="V58" s="153"/>
      <c r="W58" s="147"/>
      <c r="Z58" s="75">
        <v>9</v>
      </c>
      <c r="AA58" s="147">
        <v>180</v>
      </c>
      <c r="AD58" s="76"/>
      <c r="AE58" s="77"/>
      <c r="AH58" s="76"/>
      <c r="AI58" s="77"/>
    </row>
    <row r="59" spans="1:35" x14ac:dyDescent="0.35">
      <c r="A59" s="145">
        <v>45960</v>
      </c>
      <c r="B59" s="76"/>
      <c r="C59" s="61"/>
      <c r="D59" s="77"/>
      <c r="E59" s="147"/>
      <c r="F59" s="149"/>
      <c r="G59" s="76">
        <v>8</v>
      </c>
      <c r="H59" s="148"/>
      <c r="I59" s="77">
        <v>640</v>
      </c>
      <c r="J59" s="149"/>
      <c r="K59" s="149"/>
      <c r="L59" s="153"/>
      <c r="M59" s="147"/>
      <c r="V59" s="153">
        <v>10</v>
      </c>
      <c r="W59" s="147">
        <v>392</v>
      </c>
      <c r="Z59" s="75"/>
      <c r="AA59" s="147"/>
      <c r="AD59" s="76"/>
      <c r="AE59" s="77"/>
      <c r="AH59" s="76"/>
      <c r="AI59" s="77"/>
    </row>
    <row r="60" spans="1:35" x14ac:dyDescent="0.35">
      <c r="A60" s="145">
        <v>45961</v>
      </c>
      <c r="B60" s="146"/>
      <c r="C60" s="147"/>
      <c r="D60" s="147"/>
      <c r="E60" s="147"/>
      <c r="F60" s="149"/>
      <c r="G60" s="146">
        <v>7</v>
      </c>
      <c r="H60" s="148"/>
      <c r="I60" s="147">
        <v>330</v>
      </c>
      <c r="J60" s="149"/>
      <c r="K60" s="149"/>
      <c r="L60" s="153"/>
      <c r="M60" s="147"/>
      <c r="N60" s="147"/>
      <c r="Q60" s="153"/>
      <c r="R60" s="147"/>
      <c r="S60" s="147"/>
      <c r="V60" s="75">
        <v>9</v>
      </c>
      <c r="W60" s="147">
        <v>0</v>
      </c>
      <c r="Z60" s="75"/>
      <c r="AA60" s="77"/>
      <c r="AD60" s="102"/>
      <c r="AE60" s="77"/>
      <c r="AH60" s="102">
        <v>8.5</v>
      </c>
      <c r="AI60" s="77">
        <v>124</v>
      </c>
    </row>
    <row r="61" spans="1:35" x14ac:dyDescent="0.35">
      <c r="AE61" s="77"/>
      <c r="AI61" s="77"/>
    </row>
  </sheetData>
  <autoFilter ref="A29:J59" xr:uid="{62547AF0-AE4E-7143-AEB2-D0685F37B84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28B9-3998-4FDB-9C85-CBAAF70ED5DE}">
  <dimension ref="A1:AJ61"/>
  <sheetViews>
    <sheetView zoomScale="72" zoomScaleNormal="72" workbookViewId="0">
      <selection sqref="A1:XFD1048576"/>
    </sheetView>
  </sheetViews>
  <sheetFormatPr defaultRowHeight="14.5" x14ac:dyDescent="0.35"/>
  <cols>
    <col min="1" max="1" width="26" customWidth="1"/>
    <col min="2" max="2" width="12.90625" customWidth="1"/>
    <col min="3" max="3" width="9.81640625" customWidth="1"/>
    <col min="4" max="4" width="10.1796875" customWidth="1"/>
    <col min="5" max="5" width="12.54296875" customWidth="1"/>
    <col min="6" max="6" width="2.453125" customWidth="1"/>
    <col min="7" max="7" width="9.179687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72656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8" width="10.1796875" customWidth="1"/>
    <col min="19" max="19" width="12.54296875" customWidth="1"/>
    <col min="20" max="20" width="8.08984375" customWidth="1"/>
    <col min="21" max="21" width="2.26953125" customWidth="1"/>
    <col min="22" max="22" width="7.81640625" style="7" customWidth="1"/>
    <col min="23" max="23" width="11.1796875" style="7" customWidth="1"/>
    <col min="24" max="24" width="8.36328125" style="7" customWidth="1"/>
    <col min="25" max="25" width="2.453125" style="7" customWidth="1"/>
    <col min="26" max="26" width="9.1796875" style="7" customWidth="1"/>
    <col min="27" max="27" width="13.26953125" style="7" customWidth="1"/>
    <col min="28" max="28" width="10.90625" style="7" customWidth="1"/>
    <col min="29" max="29" width="2.6328125" customWidth="1"/>
    <col min="30" max="30" width="9.1796875" style="98" customWidth="1"/>
    <col min="31" max="31" width="11" style="94" customWidth="1"/>
    <col min="32" max="32" width="10.36328125" customWidth="1"/>
    <col min="33" max="33" width="2.81640625" customWidth="1"/>
    <col min="34" max="34" width="9.1796875" style="98" customWidth="1"/>
    <col min="35" max="35" width="10.90625" style="94" customWidth="1"/>
    <col min="36" max="36" width="9.36328125" customWidth="1"/>
  </cols>
  <sheetData>
    <row r="1" spans="1:36" ht="17.5" x14ac:dyDescent="0.35">
      <c r="A1" s="106" t="s">
        <v>58</v>
      </c>
      <c r="C1" s="2"/>
      <c r="D1" s="2"/>
      <c r="E1" s="107" t="s">
        <v>0</v>
      </c>
      <c r="L1" s="108"/>
      <c r="M1" s="109"/>
      <c r="N1" s="109"/>
      <c r="Q1" s="108"/>
      <c r="R1" s="109"/>
      <c r="S1" s="109"/>
    </row>
    <row r="2" spans="1:36" x14ac:dyDescent="0.35">
      <c r="A2" s="107"/>
      <c r="B2" s="9"/>
      <c r="C2" s="2"/>
      <c r="D2" s="2"/>
      <c r="L2" s="108"/>
      <c r="M2" s="109"/>
      <c r="N2" s="109"/>
      <c r="Q2" s="108"/>
      <c r="R2" s="109"/>
      <c r="S2" s="109"/>
    </row>
    <row r="3" spans="1:36" x14ac:dyDescent="0.35">
      <c r="A3" s="107"/>
      <c r="B3" s="10"/>
      <c r="C3" s="2"/>
      <c r="D3" s="2"/>
      <c r="L3" s="108"/>
      <c r="M3" s="109"/>
      <c r="N3" s="109"/>
      <c r="Q3" s="108"/>
      <c r="R3" s="109"/>
      <c r="S3" s="109"/>
    </row>
    <row r="4" spans="1:36" x14ac:dyDescent="0.35">
      <c r="A4" s="107" t="s">
        <v>1</v>
      </c>
      <c r="B4" s="110">
        <f>B14+G14+L14+V14+Z14</f>
        <v>459.5</v>
      </c>
      <c r="C4" s="2"/>
      <c r="D4" s="2"/>
      <c r="L4" s="108"/>
      <c r="M4" s="109"/>
      <c r="N4" s="109"/>
      <c r="Q4" s="108"/>
      <c r="R4" s="109"/>
      <c r="S4" s="109"/>
    </row>
    <row r="5" spans="1:36" x14ac:dyDescent="0.35">
      <c r="A5" s="107" t="s">
        <v>40</v>
      </c>
      <c r="B5" s="111">
        <f>B15+G15+H4615+L15+Q15+V15+Z15+AD15</f>
        <v>6868.5</v>
      </c>
      <c r="C5" s="2"/>
      <c r="D5" s="2"/>
      <c r="L5" s="108"/>
      <c r="M5" s="109"/>
      <c r="N5" s="109"/>
      <c r="Q5" s="108"/>
      <c r="R5" s="109"/>
      <c r="S5" s="109"/>
    </row>
    <row r="6" spans="1:36" x14ac:dyDescent="0.35">
      <c r="A6" s="107" t="s">
        <v>41</v>
      </c>
      <c r="B6" s="112">
        <f>B16+G16+L16+Q16+AH16</f>
        <v>14207</v>
      </c>
      <c r="C6" s="2"/>
      <c r="D6" s="2"/>
      <c r="L6" s="108"/>
      <c r="M6" s="109"/>
      <c r="N6" s="109"/>
      <c r="Q6" s="108"/>
      <c r="R6" s="109"/>
      <c r="S6" s="109"/>
    </row>
    <row r="7" spans="1:36" x14ac:dyDescent="0.35">
      <c r="A7" s="107" t="s">
        <v>4</v>
      </c>
      <c r="B7" s="113">
        <f>B5+B6+C7</f>
        <v>24857.5</v>
      </c>
      <c r="C7" s="15">
        <f>SUM(C17+H9+H17+M17+R17+W17+AA17+AE17+AI17)</f>
        <v>3782</v>
      </c>
      <c r="D7" s="161"/>
      <c r="E7" s="16"/>
      <c r="L7" s="108"/>
      <c r="M7" s="109"/>
      <c r="N7" s="109"/>
      <c r="Q7" s="108"/>
      <c r="R7" s="109"/>
      <c r="S7" s="109"/>
    </row>
    <row r="8" spans="1:36" x14ac:dyDescent="0.35">
      <c r="A8" s="107" t="s">
        <v>5</v>
      </c>
      <c r="B8" s="113">
        <f>B22+G22+L22+V22</f>
        <v>4992.7999999999993</v>
      </c>
      <c r="C8" s="2"/>
      <c r="D8" s="2"/>
      <c r="L8" s="108"/>
      <c r="M8" s="109"/>
      <c r="N8" s="109"/>
      <c r="Q8" s="108"/>
      <c r="R8" s="109"/>
      <c r="S8" s="109"/>
    </row>
    <row r="9" spans="1:36" x14ac:dyDescent="0.35">
      <c r="A9" s="107"/>
      <c r="B9" s="114"/>
      <c r="L9" s="108"/>
      <c r="M9" s="109"/>
      <c r="N9" s="109"/>
      <c r="Q9" s="108"/>
      <c r="R9" s="109"/>
      <c r="S9" s="109"/>
    </row>
    <row r="10" spans="1:36" x14ac:dyDescent="0.35">
      <c r="A10" s="107" t="s">
        <v>6</v>
      </c>
      <c r="B10" s="113">
        <f>B8+B23+L26</f>
        <v>5192.7999999999993</v>
      </c>
      <c r="C10" s="2"/>
      <c r="D10" s="2"/>
      <c r="L10" s="108"/>
      <c r="M10" s="109"/>
      <c r="N10" s="109"/>
      <c r="Q10" s="108"/>
      <c r="R10" s="109"/>
      <c r="S10" s="109"/>
    </row>
    <row r="11" spans="1:36" x14ac:dyDescent="0.35">
      <c r="B11" s="115"/>
      <c r="C11" s="2"/>
      <c r="D11" s="2"/>
      <c r="G11" s="115"/>
      <c r="L11" s="108"/>
      <c r="M11" s="109"/>
      <c r="N11" s="109"/>
      <c r="Q11" s="108"/>
      <c r="R11" s="109"/>
      <c r="S11" s="109"/>
      <c r="V11" s="116"/>
      <c r="Z11" s="116"/>
    </row>
    <row r="12" spans="1:36" x14ac:dyDescent="0.35">
      <c r="B12" s="115" t="s">
        <v>7</v>
      </c>
      <c r="C12" s="2"/>
      <c r="D12" s="2"/>
      <c r="G12" s="115" t="s">
        <v>8</v>
      </c>
      <c r="H12" s="117"/>
      <c r="I12" s="108"/>
      <c r="J12" s="108"/>
      <c r="L12" s="115" t="s">
        <v>9</v>
      </c>
      <c r="M12" s="109"/>
      <c r="N12" s="109"/>
      <c r="Q12" s="115" t="s">
        <v>11</v>
      </c>
      <c r="R12" s="109"/>
      <c r="S12" s="109"/>
      <c r="V12" s="115" t="s">
        <v>33</v>
      </c>
      <c r="Z12" s="115" t="s">
        <v>54</v>
      </c>
      <c r="AC12" s="73"/>
      <c r="AD12" s="158" t="s">
        <v>48</v>
      </c>
      <c r="AE12" s="95"/>
      <c r="AF12" s="7"/>
      <c r="AH12" s="158" t="s">
        <v>55</v>
      </c>
      <c r="AI12" s="95"/>
      <c r="AJ12" s="7"/>
    </row>
    <row r="13" spans="1:36" x14ac:dyDescent="0.35">
      <c r="B13" s="115"/>
      <c r="C13" s="2"/>
      <c r="D13" s="2"/>
      <c r="G13" s="115"/>
      <c r="H13" s="117"/>
      <c r="I13" s="108"/>
      <c r="J13" s="108"/>
      <c r="L13" s="115"/>
      <c r="M13" s="109"/>
      <c r="N13" s="109"/>
      <c r="Q13" s="115"/>
      <c r="R13" s="109"/>
      <c r="S13" s="109"/>
      <c r="V13" s="115"/>
      <c r="Z13" s="115" t="s">
        <v>56</v>
      </c>
      <c r="AB13" s="155"/>
      <c r="AC13" s="156"/>
      <c r="AD13" s="157" t="s">
        <v>51</v>
      </c>
      <c r="AE13" s="95"/>
      <c r="AF13" s="7"/>
      <c r="AH13" s="157" t="s">
        <v>57</v>
      </c>
      <c r="AI13" s="95"/>
      <c r="AJ13" s="7"/>
    </row>
    <row r="14" spans="1:36" x14ac:dyDescent="0.35">
      <c r="A14" s="115" t="s">
        <v>12</v>
      </c>
      <c r="B14" s="119">
        <f>SUM(B31:B62)</f>
        <v>128.5</v>
      </c>
      <c r="C14" s="2"/>
      <c r="D14" s="2"/>
      <c r="G14" s="120">
        <f>SUM(G30:G60)</f>
        <v>71.5</v>
      </c>
      <c r="H14" s="117"/>
      <c r="I14" s="108"/>
      <c r="J14" s="108"/>
      <c r="L14" s="120">
        <f>SUM(L30:L62)</f>
        <v>63.5</v>
      </c>
      <c r="M14" s="109"/>
      <c r="N14" s="109"/>
      <c r="Q14" s="120">
        <f>SUM(Q30:Q62)</f>
        <v>0</v>
      </c>
      <c r="R14" s="109"/>
      <c r="S14" s="109"/>
      <c r="V14" s="120">
        <f>SUM(V28:V60)</f>
        <v>45.5</v>
      </c>
      <c r="W14" s="117"/>
      <c r="X14" s="108"/>
      <c r="Y14" s="108"/>
      <c r="Z14" s="120">
        <f>SUM(Z28:Z60)</f>
        <v>150.5</v>
      </c>
      <c r="AA14" s="117"/>
      <c r="AB14" s="108"/>
      <c r="AD14" s="120">
        <f>SUM(AD28:AD60)</f>
        <v>10</v>
      </c>
      <c r="AE14" s="117"/>
      <c r="AF14" s="108"/>
      <c r="AH14" s="120">
        <f>SUM(AH28:AH60)</f>
        <v>52.5</v>
      </c>
      <c r="AI14" s="117"/>
      <c r="AJ14" s="108"/>
    </row>
    <row r="15" spans="1:36" x14ac:dyDescent="0.35">
      <c r="A15" s="107" t="s">
        <v>40</v>
      </c>
      <c r="B15" s="121">
        <f>SUM(C30:C59)</f>
        <v>0</v>
      </c>
      <c r="C15" s="2"/>
      <c r="D15" s="2"/>
      <c r="G15" s="122">
        <f>SUM(H30:H60)</f>
        <v>0</v>
      </c>
      <c r="H15" s="117"/>
      <c r="I15" s="108"/>
      <c r="J15" s="108"/>
      <c r="L15" s="122">
        <f>SUM(M30:M60)</f>
        <v>574</v>
      </c>
      <c r="M15" s="109"/>
      <c r="N15" s="109"/>
      <c r="Q15" s="122">
        <f>SUM(R30:R60)</f>
        <v>0</v>
      </c>
      <c r="R15" s="109"/>
      <c r="S15" s="109"/>
      <c r="V15" s="123">
        <f>SUM(W30:W60)</f>
        <v>364</v>
      </c>
      <c r="W15" s="117"/>
      <c r="X15" s="108"/>
      <c r="Y15" s="108"/>
      <c r="Z15" s="122">
        <f>SUM(AA30:AA60)</f>
        <v>5930.5</v>
      </c>
      <c r="AA15" s="117"/>
      <c r="AB15" s="108"/>
      <c r="AD15" s="122">
        <f>SUM(AE30:AE60)</f>
        <v>0</v>
      </c>
      <c r="AE15" s="117"/>
      <c r="AF15" s="108"/>
      <c r="AH15" s="122"/>
      <c r="AI15" s="117"/>
      <c r="AJ15" s="108"/>
    </row>
    <row r="16" spans="1:36" x14ac:dyDescent="0.35">
      <c r="A16" s="115" t="s">
        <v>41</v>
      </c>
      <c r="B16" s="122">
        <f>SUM(D30:D60)</f>
        <v>6769</v>
      </c>
      <c r="C16" s="2"/>
      <c r="D16" s="2"/>
      <c r="G16" s="122">
        <f>SUM(I30:I60)</f>
        <v>3351</v>
      </c>
      <c r="H16" s="117"/>
      <c r="I16" s="108"/>
      <c r="J16" s="108"/>
      <c r="L16" s="122">
        <f>SUM(N30:N60)</f>
        <v>1538</v>
      </c>
      <c r="M16" s="109"/>
      <c r="N16" s="109"/>
      <c r="Q16" s="122">
        <f>SUM(S30:S60)</f>
        <v>1825</v>
      </c>
      <c r="R16" s="109"/>
      <c r="S16" s="109"/>
      <c r="V16" s="122"/>
      <c r="W16" s="117"/>
      <c r="X16" s="108"/>
      <c r="Y16" s="108"/>
      <c r="Z16" s="122"/>
      <c r="AA16" s="117"/>
      <c r="AB16" s="108"/>
      <c r="AD16" s="122"/>
      <c r="AE16" s="117"/>
      <c r="AF16" s="108"/>
      <c r="AH16" s="122">
        <f>SUM(AI30:AI61)</f>
        <v>724</v>
      </c>
      <c r="AI16" s="117"/>
      <c r="AJ16" s="108"/>
    </row>
    <row r="17" spans="1:36" x14ac:dyDescent="0.35">
      <c r="A17" s="115" t="s">
        <v>13</v>
      </c>
      <c r="B17" s="122">
        <f>B15+B16+C17</f>
        <v>7249</v>
      </c>
      <c r="C17" s="124">
        <v>480</v>
      </c>
      <c r="D17" s="125"/>
      <c r="E17" s="27"/>
      <c r="G17" s="122">
        <f>G15+G16+H17</f>
        <v>3351</v>
      </c>
      <c r="H17" s="124">
        <f>SUM(J30:J61)</f>
        <v>0</v>
      </c>
      <c r="I17" s="126"/>
      <c r="J17" s="30"/>
      <c r="L17" s="122">
        <f>L15+L16+M17</f>
        <v>3054</v>
      </c>
      <c r="M17" s="127">
        <f>SUM(O30:O60)</f>
        <v>942</v>
      </c>
      <c r="N17" s="125"/>
      <c r="O17" s="30"/>
      <c r="Q17" s="122">
        <f>Q15+Q16+R17</f>
        <v>1825</v>
      </c>
      <c r="R17" s="127">
        <f>SUM(T30:T60)</f>
        <v>0</v>
      </c>
      <c r="S17" s="125"/>
      <c r="T17" s="30"/>
      <c r="U17" s="30"/>
      <c r="V17" s="122">
        <f>V15+V16</f>
        <v>364</v>
      </c>
      <c r="W17" s="127">
        <f>SUM(Y30:Y60)</f>
        <v>0</v>
      </c>
      <c r="X17" s="125"/>
      <c r="Y17" s="125"/>
      <c r="Z17" s="122">
        <f>Z15+Z16+AA17</f>
        <v>8080.5</v>
      </c>
      <c r="AA17" s="127">
        <f>SUM(AB30:AB59)</f>
        <v>2150</v>
      </c>
      <c r="AB17" s="125"/>
      <c r="AD17" s="122">
        <f>AD15+AD16</f>
        <v>0</v>
      </c>
      <c r="AE17" s="128">
        <f>SUM(AG30:AG60)</f>
        <v>0</v>
      </c>
      <c r="AF17" s="125"/>
      <c r="AH17" s="122">
        <f>AH15+AH16</f>
        <v>724</v>
      </c>
      <c r="AI17" s="128">
        <f>SUM(AJ30:AJ60)</f>
        <v>210</v>
      </c>
      <c r="AJ17" s="125"/>
    </row>
    <row r="18" spans="1:36" x14ac:dyDescent="0.35">
      <c r="A18" s="108" t="s">
        <v>14</v>
      </c>
      <c r="B18" s="121">
        <v>12</v>
      </c>
      <c r="C18" s="2"/>
      <c r="D18" s="2"/>
      <c r="G18" s="122">
        <v>11</v>
      </c>
      <c r="H18" s="117"/>
      <c r="I18" s="108"/>
      <c r="J18" s="108"/>
      <c r="L18" s="122">
        <v>12</v>
      </c>
      <c r="M18" s="109"/>
      <c r="N18" s="109"/>
      <c r="Q18" s="122"/>
      <c r="R18" s="109"/>
      <c r="S18" s="109"/>
      <c r="V18" s="122">
        <v>11</v>
      </c>
      <c r="W18" s="117"/>
      <c r="X18" s="108"/>
      <c r="Y18" s="108"/>
      <c r="Z18" s="122">
        <v>11</v>
      </c>
      <c r="AA18" s="117"/>
      <c r="AB18" s="108"/>
      <c r="AD18" s="122">
        <v>10</v>
      </c>
      <c r="AE18" s="117"/>
      <c r="AF18" s="108"/>
      <c r="AH18" s="122">
        <v>10</v>
      </c>
      <c r="AI18" s="117"/>
      <c r="AJ18" s="108"/>
    </row>
    <row r="19" spans="1:36" x14ac:dyDescent="0.35">
      <c r="A19" s="108" t="s">
        <v>15</v>
      </c>
      <c r="B19" s="129">
        <v>10</v>
      </c>
      <c r="C19" s="109">
        <v>10</v>
      </c>
      <c r="D19" s="109"/>
      <c r="G19" s="130">
        <v>10</v>
      </c>
      <c r="H19" s="117">
        <v>10</v>
      </c>
      <c r="I19" s="108"/>
      <c r="J19" s="108"/>
      <c r="L19" s="130">
        <v>10</v>
      </c>
      <c r="M19" s="109">
        <v>10</v>
      </c>
      <c r="N19" s="109"/>
      <c r="O19" s="108"/>
      <c r="Q19" s="130"/>
      <c r="R19" s="109"/>
      <c r="S19" s="109"/>
      <c r="T19" s="108"/>
      <c r="U19" s="108"/>
      <c r="V19" s="130">
        <v>10</v>
      </c>
      <c r="W19" s="117">
        <v>10</v>
      </c>
      <c r="X19" s="108"/>
      <c r="Y19" s="108"/>
      <c r="Z19" s="130">
        <v>5</v>
      </c>
      <c r="AA19" s="117"/>
      <c r="AB19" s="108"/>
      <c r="AD19" s="130">
        <v>10</v>
      </c>
      <c r="AE19" s="117">
        <v>10</v>
      </c>
      <c r="AF19" s="108"/>
      <c r="AH19" s="130">
        <v>10</v>
      </c>
      <c r="AI19" s="117">
        <v>10</v>
      </c>
      <c r="AJ19" s="108"/>
    </row>
    <row r="20" spans="1:36" x14ac:dyDescent="0.35">
      <c r="A20" s="108" t="s">
        <v>16</v>
      </c>
      <c r="B20" s="121">
        <f>B18*B14</f>
        <v>1542</v>
      </c>
      <c r="D20" s="109"/>
      <c r="G20" s="122">
        <f>G18*G14</f>
        <v>786.5</v>
      </c>
      <c r="H20" s="117"/>
      <c r="I20" s="108"/>
      <c r="J20" s="108"/>
      <c r="L20" s="122">
        <f>L18*L14</f>
        <v>762</v>
      </c>
      <c r="M20" s="109"/>
      <c r="N20" s="109"/>
      <c r="O20" s="108"/>
      <c r="Q20" s="122"/>
      <c r="R20" s="109"/>
      <c r="S20" s="109"/>
      <c r="T20" s="108"/>
      <c r="U20" s="108"/>
      <c r="V20" s="122">
        <f>V18*V14</f>
        <v>500.5</v>
      </c>
      <c r="W20" s="117"/>
      <c r="X20" s="108"/>
      <c r="Y20" s="108"/>
      <c r="Z20" s="122">
        <f>Z18*Z14</f>
        <v>1655.5</v>
      </c>
      <c r="AA20" s="117"/>
      <c r="AB20" s="108"/>
      <c r="AD20" s="122">
        <f>AD18*AD14</f>
        <v>100</v>
      </c>
      <c r="AE20" s="117"/>
      <c r="AF20" s="108"/>
      <c r="AH20" s="122">
        <f>AH18*AH14</f>
        <v>525</v>
      </c>
      <c r="AI20" s="117"/>
      <c r="AJ20" s="108"/>
    </row>
    <row r="21" spans="1:36" x14ac:dyDescent="0.35">
      <c r="A21" s="108" t="s">
        <v>17</v>
      </c>
      <c r="B21" s="122">
        <f>B17*(B19/100)+C21</f>
        <v>724.90000000000009</v>
      </c>
      <c r="C21" s="109"/>
      <c r="D21" s="109"/>
      <c r="E21" s="125" t="s">
        <v>18</v>
      </c>
      <c r="G21" s="122">
        <f>G17*(G19/100)</f>
        <v>335.1</v>
      </c>
      <c r="H21" s="126"/>
      <c r="I21" s="126"/>
      <c r="J21" s="125"/>
      <c r="L21" s="122">
        <f>L17*(L19/100)</f>
        <v>305.40000000000003</v>
      </c>
      <c r="M21" s="126"/>
      <c r="N21" s="109"/>
      <c r="O21" s="125"/>
      <c r="Q21" s="122"/>
      <c r="R21" s="126">
        <f>R17*(R19/100)</f>
        <v>0</v>
      </c>
      <c r="S21" s="109"/>
      <c r="T21" s="125"/>
      <c r="U21" s="125"/>
      <c r="V21" s="122">
        <f>V17*(V19/100)+W21</f>
        <v>36.4</v>
      </c>
      <c r="W21" s="126"/>
      <c r="X21" s="125"/>
      <c r="Y21" s="125"/>
      <c r="Z21" s="122">
        <f>Z17*(Z19/100)</f>
        <v>404.02500000000003</v>
      </c>
      <c r="AA21" s="126"/>
      <c r="AB21" s="125"/>
      <c r="AD21" s="122">
        <f>AD17*(AD19/100)+AE21</f>
        <v>0</v>
      </c>
      <c r="AE21" s="126"/>
      <c r="AF21" s="125"/>
      <c r="AH21" s="122">
        <f>AH17*(AH19/100)+AI21</f>
        <v>72.400000000000006</v>
      </c>
      <c r="AI21" s="126"/>
      <c r="AJ21" s="125"/>
    </row>
    <row r="22" spans="1:36" x14ac:dyDescent="0.35">
      <c r="A22" s="108" t="s">
        <v>19</v>
      </c>
      <c r="B22" s="121">
        <f>B20+B21</f>
        <v>2266.9</v>
      </c>
      <c r="C22" s="109"/>
      <c r="D22" s="109"/>
      <c r="G22" s="122">
        <f>G20+G21</f>
        <v>1121.5999999999999</v>
      </c>
      <c r="H22" s="117"/>
      <c r="I22" s="108"/>
      <c r="J22" s="108"/>
      <c r="L22" s="122">
        <f>L20+L21</f>
        <v>1067.4000000000001</v>
      </c>
      <c r="M22" s="109"/>
      <c r="N22" s="109"/>
      <c r="O22" s="108"/>
      <c r="Q22" s="122"/>
      <c r="R22" s="109"/>
      <c r="S22" s="109"/>
      <c r="T22" s="108"/>
      <c r="U22" s="108"/>
      <c r="V22" s="122">
        <f>V20+V21</f>
        <v>536.9</v>
      </c>
      <c r="W22" s="117"/>
      <c r="Y22" s="108"/>
      <c r="Z22" s="122">
        <f>Z20+Z21</f>
        <v>2059.5250000000001</v>
      </c>
      <c r="AB22" s="108"/>
      <c r="AD22" s="122">
        <f>AD20+AD21</f>
        <v>100</v>
      </c>
      <c r="AE22" s="117"/>
      <c r="AF22" s="108"/>
      <c r="AH22" s="122">
        <f>AH20+AH21</f>
        <v>597.4</v>
      </c>
      <c r="AI22" s="117"/>
      <c r="AJ22" s="108"/>
    </row>
    <row r="23" spans="1:36" x14ac:dyDescent="0.35">
      <c r="A23" s="131" t="s">
        <v>20</v>
      </c>
      <c r="B23" s="132"/>
      <c r="C23" s="109"/>
      <c r="D23" s="109"/>
      <c r="G23" s="121"/>
      <c r="H23" s="117"/>
      <c r="I23" s="108"/>
      <c r="J23" s="108"/>
      <c r="L23" s="121"/>
      <c r="M23" s="109"/>
      <c r="N23" s="109"/>
      <c r="O23" s="108"/>
      <c r="Q23" s="121"/>
      <c r="R23" s="109"/>
      <c r="S23" s="109"/>
      <c r="T23" s="108"/>
      <c r="U23" s="108"/>
      <c r="V23" s="121"/>
      <c r="W23" s="117"/>
      <c r="X23" s="108"/>
      <c r="Y23" s="108"/>
      <c r="Z23" s="121"/>
      <c r="AA23" s="117"/>
      <c r="AB23" s="108"/>
      <c r="AD23" s="122"/>
      <c r="AE23" s="117"/>
      <c r="AF23" s="108"/>
      <c r="AH23" s="122"/>
      <c r="AI23" s="117"/>
      <c r="AJ23" s="108"/>
    </row>
    <row r="24" spans="1:36" x14ac:dyDescent="0.35">
      <c r="A24" s="131" t="s">
        <v>21</v>
      </c>
      <c r="B24" s="132"/>
      <c r="C24" s="109"/>
      <c r="D24" s="109"/>
      <c r="G24" s="121"/>
      <c r="H24" s="117"/>
      <c r="I24" s="108"/>
      <c r="J24" s="108"/>
      <c r="L24" s="121"/>
      <c r="M24" s="109"/>
      <c r="N24" s="109"/>
      <c r="O24" s="108"/>
      <c r="Q24" s="121"/>
      <c r="R24" s="109"/>
      <c r="S24" s="108"/>
      <c r="T24" s="108"/>
      <c r="U24" s="108"/>
      <c r="V24" s="121"/>
      <c r="W24" s="117"/>
      <c r="X24" s="108"/>
      <c r="Y24" s="108"/>
      <c r="Z24" s="121"/>
      <c r="AA24" s="117"/>
      <c r="AB24" s="108"/>
      <c r="AD24" s="122"/>
      <c r="AE24" s="117"/>
      <c r="AF24" s="108"/>
      <c r="AH24" s="122"/>
      <c r="AI24" s="117"/>
      <c r="AJ24" s="108"/>
    </row>
    <row r="25" spans="1:36" x14ac:dyDescent="0.35">
      <c r="A25" s="131" t="s">
        <v>22</v>
      </c>
      <c r="B25" s="132"/>
      <c r="C25" s="109"/>
      <c r="D25" s="109"/>
      <c r="G25" s="121"/>
      <c r="H25" s="117"/>
      <c r="I25" s="108"/>
      <c r="J25" s="108"/>
      <c r="L25" s="121"/>
      <c r="M25" s="109"/>
      <c r="N25" s="109"/>
      <c r="O25" s="108"/>
      <c r="Q25" s="121"/>
      <c r="R25" s="109"/>
      <c r="S25" s="109"/>
      <c r="T25" s="108"/>
      <c r="U25" s="108"/>
      <c r="V25" s="121"/>
      <c r="W25" s="117"/>
      <c r="X25" s="108"/>
      <c r="Y25" s="108"/>
      <c r="Z25" s="121"/>
      <c r="AA25" s="117"/>
      <c r="AB25" s="108"/>
      <c r="AD25" s="122"/>
      <c r="AE25" s="117"/>
      <c r="AF25" s="108"/>
      <c r="AH25" s="122"/>
      <c r="AI25" s="117"/>
      <c r="AJ25" s="108"/>
    </row>
    <row r="26" spans="1:36" x14ac:dyDescent="0.35">
      <c r="A26" s="108" t="s">
        <v>23</v>
      </c>
      <c r="B26" s="121"/>
      <c r="C26" s="109"/>
      <c r="D26" s="109"/>
      <c r="G26" s="121"/>
      <c r="H26" s="117"/>
      <c r="I26" s="108"/>
      <c r="J26" s="108"/>
      <c r="L26" s="133">
        <v>200</v>
      </c>
      <c r="M26" s="109"/>
      <c r="N26" s="109"/>
      <c r="O26" s="108"/>
      <c r="Q26" s="133"/>
      <c r="R26" s="109"/>
      <c r="S26" s="109"/>
      <c r="T26" s="108"/>
      <c r="U26" s="108"/>
      <c r="V26" s="121"/>
      <c r="W26" s="117"/>
      <c r="X26" s="108"/>
      <c r="Y26" s="108"/>
      <c r="Z26" s="121"/>
      <c r="AA26" s="117"/>
      <c r="AB26" s="108"/>
      <c r="AD26" s="122"/>
      <c r="AE26" s="117"/>
      <c r="AF26" s="108"/>
      <c r="AH26" s="122"/>
      <c r="AI26" s="117"/>
      <c r="AJ26" s="108"/>
    </row>
    <row r="27" spans="1:36" x14ac:dyDescent="0.35">
      <c r="A27" s="108" t="s">
        <v>24</v>
      </c>
      <c r="B27" s="134">
        <f>B22-B24+B26</f>
        <v>2266.9</v>
      </c>
      <c r="C27" s="109"/>
      <c r="D27" s="109"/>
      <c r="G27" s="135">
        <f>G22-G25+G26</f>
        <v>1121.5999999999999</v>
      </c>
      <c r="H27" s="117"/>
      <c r="I27" s="108"/>
      <c r="J27" s="108"/>
      <c r="L27" s="135">
        <f>L22+L26</f>
        <v>1267.4000000000001</v>
      </c>
      <c r="O27" s="108"/>
      <c r="Q27" s="135"/>
      <c r="T27" s="108"/>
      <c r="U27" s="108"/>
      <c r="V27" s="135">
        <f>V22-V25+V26</f>
        <v>536.9</v>
      </c>
      <c r="W27" s="117"/>
      <c r="X27" s="108"/>
      <c r="Y27" s="108"/>
      <c r="Z27" s="135">
        <f>Z22-Z25+Z26</f>
        <v>2059.5250000000001</v>
      </c>
      <c r="AA27" s="117"/>
      <c r="AB27" s="108"/>
      <c r="AD27" s="135">
        <f>AD22-AD25+AD26</f>
        <v>100</v>
      </c>
      <c r="AE27" s="117"/>
      <c r="AF27" s="108"/>
      <c r="AH27" s="135">
        <f>AH22-AH25+AH26</f>
        <v>597.4</v>
      </c>
      <c r="AI27" s="117"/>
      <c r="AJ27" s="108"/>
    </row>
    <row r="28" spans="1:36" x14ac:dyDescent="0.35">
      <c r="A28" s="108"/>
      <c r="B28" s="108"/>
      <c r="C28" s="109"/>
      <c r="D28" s="109"/>
      <c r="G28" s="108"/>
      <c r="H28" s="117"/>
      <c r="I28" s="108"/>
      <c r="J28" s="108"/>
      <c r="L28" s="108"/>
      <c r="M28" s="109"/>
      <c r="N28" s="109"/>
      <c r="O28" s="108"/>
      <c r="Q28" s="108"/>
      <c r="R28" s="109"/>
      <c r="S28" s="109"/>
      <c r="T28" s="108"/>
      <c r="U28" s="108"/>
      <c r="V28" s="136"/>
      <c r="W28" s="136"/>
      <c r="Z28" s="136"/>
      <c r="AA28" s="136"/>
    </row>
    <row r="29" spans="1:36" ht="36" customHeight="1" x14ac:dyDescent="0.35">
      <c r="A29" s="108" t="s">
        <v>25</v>
      </c>
      <c r="B29" s="137" t="s">
        <v>26</v>
      </c>
      <c r="C29" s="138" t="s">
        <v>27</v>
      </c>
      <c r="D29" s="89" t="s">
        <v>42</v>
      </c>
      <c r="E29" s="140" t="s">
        <v>29</v>
      </c>
      <c r="F29" s="141" t="s">
        <v>30</v>
      </c>
      <c r="G29" s="137" t="s">
        <v>26</v>
      </c>
      <c r="H29" s="138" t="s">
        <v>27</v>
      </c>
      <c r="I29" s="139" t="s">
        <v>42</v>
      </c>
      <c r="J29" s="140" t="s">
        <v>29</v>
      </c>
      <c r="L29" s="137" t="s">
        <v>26</v>
      </c>
      <c r="M29" s="142" t="s">
        <v>27</v>
      </c>
      <c r="N29" s="139" t="s">
        <v>42</v>
      </c>
      <c r="O29" s="140" t="s">
        <v>29</v>
      </c>
      <c r="Q29" s="137" t="s">
        <v>26</v>
      </c>
      <c r="R29" s="142" t="s">
        <v>27</v>
      </c>
      <c r="S29" s="139" t="s">
        <v>42</v>
      </c>
      <c r="T29" s="140" t="s">
        <v>29</v>
      </c>
      <c r="U29" s="143"/>
      <c r="V29" s="137" t="s">
        <v>26</v>
      </c>
      <c r="W29" s="142" t="s">
        <v>27</v>
      </c>
      <c r="X29" s="140" t="s">
        <v>29</v>
      </c>
      <c r="Y29" s="143"/>
      <c r="Z29" s="137" t="s">
        <v>26</v>
      </c>
      <c r="AA29" s="142" t="s">
        <v>27</v>
      </c>
      <c r="AB29" s="140" t="s">
        <v>29</v>
      </c>
      <c r="AD29" s="144" t="s">
        <v>26</v>
      </c>
      <c r="AE29" s="142" t="s">
        <v>27</v>
      </c>
      <c r="AF29" s="140" t="s">
        <v>29</v>
      </c>
      <c r="AH29" s="144" t="s">
        <v>26</v>
      </c>
      <c r="AI29" s="139" t="s">
        <v>42</v>
      </c>
      <c r="AJ29" s="140" t="s">
        <v>29</v>
      </c>
    </row>
    <row r="30" spans="1:36" x14ac:dyDescent="0.35">
      <c r="A30" s="145">
        <v>45962</v>
      </c>
      <c r="B30" s="76"/>
      <c r="C30" s="61"/>
      <c r="D30" s="77"/>
      <c r="E30" s="147"/>
      <c r="F30" s="147"/>
      <c r="G30" s="76">
        <v>11.5</v>
      </c>
      <c r="H30" s="148"/>
      <c r="I30" s="77">
        <v>130</v>
      </c>
      <c r="J30" s="149"/>
      <c r="K30" s="149"/>
      <c r="L30" s="146"/>
      <c r="M30" s="147"/>
      <c r="N30" s="147"/>
      <c r="O30" s="147"/>
      <c r="P30" s="149"/>
      <c r="Q30" s="146"/>
      <c r="R30" s="147"/>
      <c r="S30" s="147"/>
      <c r="T30" s="147"/>
      <c r="U30" s="147"/>
      <c r="V30" s="150"/>
      <c r="X30" s="151"/>
      <c r="Y30" s="151"/>
      <c r="Z30" s="152"/>
      <c r="AA30" s="151"/>
      <c r="AB30" s="151"/>
      <c r="AD30" s="76"/>
      <c r="AE30" s="77"/>
      <c r="AH30" s="76"/>
    </row>
    <row r="31" spans="1:36" x14ac:dyDescent="0.35">
      <c r="A31" s="145">
        <v>45963</v>
      </c>
      <c r="B31" s="76"/>
      <c r="C31" s="61"/>
      <c r="D31" s="61"/>
      <c r="E31" s="147"/>
      <c r="F31" s="147"/>
      <c r="G31" s="76"/>
      <c r="H31" s="148"/>
      <c r="I31" s="77"/>
      <c r="J31" s="149"/>
      <c r="K31" s="149"/>
      <c r="L31" s="146"/>
      <c r="M31" s="147"/>
      <c r="O31" s="147"/>
      <c r="P31" s="149"/>
      <c r="Q31" s="146"/>
      <c r="R31" s="147"/>
      <c r="S31" s="147">
        <v>564</v>
      </c>
      <c r="T31" s="147"/>
      <c r="U31" s="147"/>
      <c r="V31" s="75">
        <v>8</v>
      </c>
      <c r="W31" s="77">
        <v>0</v>
      </c>
      <c r="X31" s="151"/>
      <c r="Y31" s="151"/>
      <c r="Z31" s="152"/>
      <c r="AA31" s="151"/>
      <c r="AB31" s="151"/>
      <c r="AD31" s="76"/>
      <c r="AE31" s="77"/>
      <c r="AH31" s="76"/>
      <c r="AI31" s="77"/>
    </row>
    <row r="32" spans="1:36" x14ac:dyDescent="0.35">
      <c r="A32" s="145">
        <v>45964</v>
      </c>
      <c r="B32" s="76"/>
      <c r="C32" s="61"/>
      <c r="D32" s="77"/>
      <c r="E32" s="147"/>
      <c r="F32" s="149"/>
      <c r="G32" s="76"/>
      <c r="H32" s="61"/>
      <c r="I32" s="77"/>
      <c r="J32" s="149"/>
      <c r="K32" s="149"/>
      <c r="L32" s="146"/>
      <c r="M32" s="147"/>
      <c r="O32" s="147"/>
      <c r="P32" s="149"/>
      <c r="Q32" s="146"/>
      <c r="R32" s="147"/>
      <c r="S32" s="147">
        <v>686</v>
      </c>
      <c r="T32" s="147"/>
      <c r="U32" s="147"/>
      <c r="V32" s="150"/>
      <c r="W32" s="151"/>
      <c r="X32" s="151"/>
      <c r="Y32" s="151"/>
      <c r="Z32" s="75">
        <v>9</v>
      </c>
      <c r="AA32" s="77">
        <v>210</v>
      </c>
      <c r="AB32" s="151"/>
      <c r="AD32" s="76"/>
      <c r="AE32" s="77"/>
      <c r="AH32" s="76">
        <v>12</v>
      </c>
      <c r="AI32" s="77">
        <v>0</v>
      </c>
    </row>
    <row r="33" spans="1:35" x14ac:dyDescent="0.35">
      <c r="A33" s="145">
        <v>45965</v>
      </c>
      <c r="B33" s="76"/>
      <c r="C33" s="61"/>
      <c r="D33" s="77"/>
      <c r="E33" s="147"/>
      <c r="F33" s="149"/>
      <c r="G33" s="76">
        <v>8</v>
      </c>
      <c r="H33" s="148"/>
      <c r="I33" s="77">
        <v>560</v>
      </c>
      <c r="J33" s="149"/>
      <c r="K33" s="149"/>
      <c r="L33" s="146"/>
      <c r="M33" s="147"/>
      <c r="N33" s="147"/>
      <c r="O33" s="147"/>
      <c r="P33" s="149"/>
      <c r="Q33" s="146"/>
      <c r="R33" s="147"/>
      <c r="S33" s="147"/>
      <c r="T33" s="147"/>
      <c r="U33" s="147"/>
      <c r="V33" s="75"/>
      <c r="W33" s="151"/>
      <c r="X33" s="151"/>
      <c r="Y33" s="151"/>
      <c r="Z33" s="75">
        <v>9.5</v>
      </c>
      <c r="AA33" s="77">
        <v>4057</v>
      </c>
      <c r="AB33" s="151"/>
      <c r="AD33" s="76"/>
      <c r="AE33" s="77"/>
      <c r="AH33" s="76"/>
      <c r="AI33" s="77"/>
    </row>
    <row r="34" spans="1:35" x14ac:dyDescent="0.35">
      <c r="A34" s="145">
        <v>45966</v>
      </c>
      <c r="B34" s="76"/>
      <c r="C34" s="61"/>
      <c r="D34" s="77"/>
      <c r="E34" s="147"/>
      <c r="F34" s="149"/>
      <c r="G34" s="76">
        <v>8</v>
      </c>
      <c r="H34" s="148"/>
      <c r="I34" s="77">
        <v>276</v>
      </c>
      <c r="J34" s="149"/>
      <c r="K34" s="149"/>
      <c r="L34" s="146"/>
      <c r="M34" s="147"/>
      <c r="N34" s="147"/>
      <c r="Q34" s="146"/>
      <c r="R34" s="147"/>
      <c r="V34" s="150"/>
      <c r="W34" s="151"/>
      <c r="Z34" s="75">
        <v>9</v>
      </c>
      <c r="AA34" s="77">
        <v>0</v>
      </c>
      <c r="AD34" s="76"/>
      <c r="AE34" s="77"/>
      <c r="AH34" s="76"/>
      <c r="AI34" s="77"/>
    </row>
    <row r="35" spans="1:35" x14ac:dyDescent="0.35">
      <c r="A35" s="145">
        <v>45967</v>
      </c>
      <c r="B35" s="76"/>
      <c r="C35" s="61"/>
      <c r="D35" s="77"/>
      <c r="E35" s="147"/>
      <c r="F35" s="149"/>
      <c r="G35" s="76">
        <v>5.5</v>
      </c>
      <c r="H35" s="148"/>
      <c r="I35" s="77">
        <v>712</v>
      </c>
      <c r="J35" s="149"/>
      <c r="K35" s="149"/>
      <c r="L35" s="146">
        <v>6</v>
      </c>
      <c r="M35" s="147"/>
      <c r="N35" s="147">
        <v>0</v>
      </c>
      <c r="Q35" s="146"/>
      <c r="R35" s="147"/>
      <c r="S35" s="61"/>
      <c r="V35" s="150"/>
      <c r="W35" s="151"/>
      <c r="X35" s="151"/>
      <c r="Z35" s="75">
        <v>10</v>
      </c>
      <c r="AA35" s="77">
        <v>196</v>
      </c>
      <c r="AD35" s="76"/>
      <c r="AE35" s="77"/>
      <c r="AH35" s="76"/>
      <c r="AI35" s="77"/>
    </row>
    <row r="36" spans="1:35" x14ac:dyDescent="0.35">
      <c r="A36" s="145">
        <v>45968</v>
      </c>
      <c r="B36" s="76"/>
      <c r="C36" s="61"/>
      <c r="D36" s="77"/>
      <c r="E36" s="147"/>
      <c r="F36" s="149"/>
      <c r="G36" s="76">
        <v>12</v>
      </c>
      <c r="H36" s="148"/>
      <c r="I36" s="77">
        <v>126</v>
      </c>
      <c r="J36" s="149"/>
      <c r="K36" s="149"/>
      <c r="L36" s="146"/>
      <c r="M36" s="147"/>
      <c r="N36" s="147"/>
      <c r="Q36" s="146"/>
      <c r="R36" s="147"/>
      <c r="S36" s="147"/>
      <c r="V36" s="150"/>
      <c r="W36" s="147"/>
      <c r="Z36" s="75">
        <v>9</v>
      </c>
      <c r="AA36" s="77">
        <v>0</v>
      </c>
      <c r="AD36" s="76"/>
      <c r="AE36" s="77"/>
      <c r="AH36" s="76"/>
      <c r="AI36" s="77"/>
    </row>
    <row r="37" spans="1:35" x14ac:dyDescent="0.35">
      <c r="A37" s="145">
        <v>45969</v>
      </c>
      <c r="B37" s="76">
        <v>12.5</v>
      </c>
      <c r="C37" s="61"/>
      <c r="D37" s="77">
        <v>726</v>
      </c>
      <c r="E37" s="147"/>
      <c r="F37" s="149"/>
      <c r="G37" s="76"/>
      <c r="H37" s="148"/>
      <c r="I37" s="77">
        <v>1172</v>
      </c>
      <c r="J37" s="149"/>
      <c r="K37" s="149"/>
      <c r="L37" s="146"/>
      <c r="M37" s="147"/>
      <c r="Q37" s="146"/>
      <c r="R37" s="147"/>
      <c r="V37" s="75"/>
      <c r="W37" s="147"/>
      <c r="Z37" s="75"/>
      <c r="AD37" s="76">
        <v>10</v>
      </c>
      <c r="AE37" s="77">
        <v>0</v>
      </c>
      <c r="AH37" s="76"/>
      <c r="AI37" s="77"/>
    </row>
    <row r="38" spans="1:35" x14ac:dyDescent="0.35">
      <c r="A38" s="145">
        <v>45970</v>
      </c>
      <c r="B38" s="76"/>
      <c r="C38" s="61"/>
      <c r="D38" s="77"/>
      <c r="E38" s="147"/>
      <c r="F38" s="149"/>
      <c r="G38" s="76"/>
      <c r="H38" s="148"/>
      <c r="I38" s="77"/>
      <c r="K38" s="149"/>
      <c r="L38" s="146">
        <v>7</v>
      </c>
      <c r="M38" s="147"/>
      <c r="N38" s="147">
        <v>0</v>
      </c>
      <c r="Q38" s="146"/>
      <c r="R38" s="147"/>
      <c r="S38" s="147">
        <v>470</v>
      </c>
      <c r="V38" s="75">
        <v>8</v>
      </c>
      <c r="W38" s="151">
        <v>364</v>
      </c>
      <c r="Z38" s="75"/>
      <c r="AD38" s="76"/>
      <c r="AE38" s="77"/>
      <c r="AH38" s="76"/>
      <c r="AI38" s="77"/>
    </row>
    <row r="39" spans="1:35" ht="15" customHeight="1" x14ac:dyDescent="0.35">
      <c r="A39" s="145">
        <v>45971</v>
      </c>
      <c r="B39" s="76">
        <v>12</v>
      </c>
      <c r="C39" s="61"/>
      <c r="D39" s="77">
        <v>798</v>
      </c>
      <c r="E39" s="147"/>
      <c r="F39" s="149"/>
      <c r="G39" s="76"/>
      <c r="H39" s="148"/>
      <c r="I39" s="77"/>
      <c r="J39" s="149"/>
      <c r="K39" s="149"/>
      <c r="L39" s="146"/>
      <c r="M39" s="147"/>
      <c r="N39" s="147"/>
      <c r="Q39" s="146"/>
      <c r="R39" s="147"/>
      <c r="S39" s="147"/>
      <c r="V39" s="150"/>
      <c r="W39" s="147"/>
      <c r="Z39" s="75">
        <v>9</v>
      </c>
      <c r="AA39" s="77">
        <v>0</v>
      </c>
      <c r="AD39" s="76"/>
      <c r="AE39" s="77"/>
      <c r="AH39" s="76"/>
      <c r="AI39" s="77"/>
    </row>
    <row r="40" spans="1:35" x14ac:dyDescent="0.35">
      <c r="A40" s="145">
        <v>45972</v>
      </c>
      <c r="B40" s="76">
        <v>12</v>
      </c>
      <c r="C40" s="61"/>
      <c r="D40" s="77">
        <v>410</v>
      </c>
      <c r="E40" s="147"/>
      <c r="F40" s="149"/>
      <c r="G40" s="76"/>
      <c r="H40" s="148"/>
      <c r="I40" s="77"/>
      <c r="J40" s="149"/>
      <c r="K40" s="149"/>
      <c r="L40" s="146"/>
      <c r="M40" s="147"/>
      <c r="N40" s="147"/>
      <c r="Q40" s="146"/>
      <c r="R40" s="147"/>
      <c r="S40" s="147"/>
      <c r="V40" s="150"/>
      <c r="W40" s="151"/>
      <c r="X40" s="147"/>
      <c r="Z40" s="75">
        <v>9</v>
      </c>
      <c r="AA40" s="77">
        <v>0</v>
      </c>
      <c r="AD40" s="76"/>
      <c r="AE40" s="77"/>
      <c r="AH40" s="76"/>
      <c r="AI40" s="77"/>
    </row>
    <row r="41" spans="1:35" x14ac:dyDescent="0.35">
      <c r="A41" s="145">
        <v>45973</v>
      </c>
      <c r="C41" s="61"/>
      <c r="E41" s="147"/>
      <c r="F41" s="149"/>
      <c r="G41" s="76">
        <v>8.5</v>
      </c>
      <c r="H41" s="148"/>
      <c r="I41" s="77">
        <v>10</v>
      </c>
      <c r="J41" s="149"/>
      <c r="K41" s="149"/>
      <c r="L41" s="146"/>
      <c r="M41" s="147"/>
      <c r="N41" s="147"/>
      <c r="Q41" s="146"/>
      <c r="R41" s="147"/>
      <c r="S41" s="147"/>
      <c r="V41" s="150"/>
      <c r="W41" s="147"/>
      <c r="Z41" s="75">
        <v>10</v>
      </c>
      <c r="AA41" s="77">
        <v>0</v>
      </c>
      <c r="AD41" s="76"/>
      <c r="AE41" s="77"/>
      <c r="AH41" s="76"/>
      <c r="AI41" s="77"/>
    </row>
    <row r="42" spans="1:35" x14ac:dyDescent="0.35">
      <c r="A42" s="145">
        <v>45974</v>
      </c>
      <c r="B42" s="76"/>
      <c r="C42" s="61"/>
      <c r="D42" s="77"/>
      <c r="E42" s="147"/>
      <c r="F42" s="149"/>
      <c r="G42" s="76">
        <v>6</v>
      </c>
      <c r="H42" s="148"/>
      <c r="I42" s="77">
        <v>0</v>
      </c>
      <c r="J42" s="149"/>
      <c r="K42" s="149"/>
      <c r="L42" s="146">
        <v>6</v>
      </c>
      <c r="M42" s="147"/>
      <c r="N42" s="147">
        <v>280</v>
      </c>
      <c r="Q42" s="146"/>
      <c r="R42" s="147"/>
      <c r="S42" s="147"/>
      <c r="V42" s="75">
        <v>10.5</v>
      </c>
      <c r="W42" s="147">
        <v>0</v>
      </c>
      <c r="Z42" s="75"/>
      <c r="AD42" s="76"/>
      <c r="AE42" s="77"/>
      <c r="AH42" s="76"/>
      <c r="AI42" s="77"/>
    </row>
    <row r="43" spans="1:35" x14ac:dyDescent="0.35">
      <c r="A43" s="145">
        <v>45975</v>
      </c>
      <c r="B43" s="76"/>
      <c r="C43" s="61"/>
      <c r="D43" s="77">
        <v>237</v>
      </c>
      <c r="E43" s="147"/>
      <c r="F43" s="149"/>
      <c r="G43" s="76">
        <v>12</v>
      </c>
      <c r="H43" s="148"/>
      <c r="I43" s="77">
        <v>365</v>
      </c>
      <c r="J43" s="147"/>
      <c r="K43" s="149"/>
      <c r="L43" s="146"/>
      <c r="M43" s="147"/>
      <c r="N43" s="147"/>
      <c r="Q43" s="146"/>
      <c r="R43" s="147"/>
      <c r="V43" s="75">
        <v>9</v>
      </c>
      <c r="W43" s="151">
        <v>0</v>
      </c>
      <c r="Z43" s="75"/>
      <c r="AD43" s="76"/>
      <c r="AE43" s="77"/>
      <c r="AH43" s="76"/>
      <c r="AI43" s="77"/>
    </row>
    <row r="44" spans="1:35" x14ac:dyDescent="0.35">
      <c r="A44" s="145">
        <v>45976</v>
      </c>
      <c r="B44" s="76">
        <v>12</v>
      </c>
      <c r="C44" s="61"/>
      <c r="D44" s="77">
        <v>196</v>
      </c>
      <c r="E44" s="147"/>
      <c r="F44" s="149"/>
      <c r="G44" s="76"/>
      <c r="H44" s="148"/>
      <c r="I44" s="77"/>
      <c r="J44" s="149"/>
      <c r="K44" s="149"/>
      <c r="L44" s="146">
        <v>8.5</v>
      </c>
      <c r="M44" s="147"/>
      <c r="O44" s="147">
        <v>324</v>
      </c>
      <c r="Q44" s="146"/>
      <c r="R44" s="147"/>
      <c r="S44" s="147"/>
      <c r="V44" s="104"/>
      <c r="AD44" s="76"/>
      <c r="AE44" s="77"/>
      <c r="AH44" s="76"/>
      <c r="AI44" s="77"/>
    </row>
    <row r="45" spans="1:35" x14ac:dyDescent="0.35">
      <c r="A45" s="145">
        <v>45977</v>
      </c>
      <c r="B45" s="76"/>
      <c r="C45" s="61"/>
      <c r="D45" s="77"/>
      <c r="E45" s="147"/>
      <c r="F45" s="149"/>
      <c r="G45" s="76"/>
      <c r="H45" s="148"/>
      <c r="I45" s="77"/>
      <c r="J45" s="149"/>
      <c r="K45" s="149"/>
      <c r="L45" s="146">
        <v>6.5</v>
      </c>
      <c r="M45" s="147"/>
      <c r="N45" s="77">
        <v>0</v>
      </c>
      <c r="O45" s="147"/>
      <c r="Q45" s="146"/>
      <c r="R45" s="147"/>
      <c r="S45" s="147"/>
      <c r="T45" s="147"/>
      <c r="V45" s="104"/>
      <c r="AD45" s="76"/>
      <c r="AE45" s="77"/>
      <c r="AH45" s="76"/>
      <c r="AI45" s="77"/>
    </row>
    <row r="46" spans="1:35" x14ac:dyDescent="0.35">
      <c r="A46" s="145">
        <v>45978</v>
      </c>
      <c r="B46" s="76"/>
      <c r="C46" s="61"/>
      <c r="D46" s="77"/>
      <c r="E46" s="147"/>
      <c r="F46" s="149"/>
      <c r="G46" s="76"/>
      <c r="H46" s="148"/>
      <c r="I46" s="77"/>
      <c r="J46" s="149"/>
      <c r="K46" s="149"/>
      <c r="L46" s="146"/>
      <c r="M46" s="147"/>
      <c r="N46" s="147"/>
      <c r="Q46" s="146"/>
      <c r="R46" s="147"/>
      <c r="S46" s="147"/>
      <c r="V46" s="104"/>
      <c r="Z46" s="75">
        <v>9</v>
      </c>
      <c r="AA46" s="147"/>
      <c r="AB46" s="147">
        <v>400</v>
      </c>
      <c r="AD46" s="76"/>
      <c r="AE46" s="77"/>
      <c r="AH46" s="76">
        <v>12</v>
      </c>
      <c r="AI46" s="77">
        <v>112</v>
      </c>
    </row>
    <row r="47" spans="1:35" x14ac:dyDescent="0.35">
      <c r="A47" s="145">
        <v>45979</v>
      </c>
      <c r="B47" s="76"/>
      <c r="C47" s="61"/>
      <c r="D47" s="77"/>
      <c r="E47" s="147"/>
      <c r="F47" s="149"/>
      <c r="G47" s="76"/>
      <c r="H47" s="148"/>
      <c r="I47" s="77"/>
      <c r="J47" s="149"/>
      <c r="K47" s="149"/>
      <c r="L47" s="146"/>
      <c r="M47" s="147"/>
      <c r="Q47" s="146"/>
      <c r="R47" s="147"/>
      <c r="S47" s="147"/>
      <c r="V47" s="75"/>
      <c r="W47" s="147"/>
      <c r="Z47" s="75">
        <v>9.5</v>
      </c>
      <c r="AA47" s="147">
        <v>330</v>
      </c>
      <c r="AD47" s="76"/>
      <c r="AE47" s="77"/>
      <c r="AH47" s="76">
        <v>4.5</v>
      </c>
      <c r="AI47" s="77">
        <v>304</v>
      </c>
    </row>
    <row r="48" spans="1:35" x14ac:dyDescent="0.35">
      <c r="A48" s="145">
        <v>45980</v>
      </c>
      <c r="B48" s="76"/>
      <c r="C48" s="61"/>
      <c r="D48" s="77"/>
      <c r="E48" s="147"/>
      <c r="F48" s="149"/>
      <c r="G48" s="76"/>
      <c r="H48" s="148"/>
      <c r="I48" s="77"/>
      <c r="J48" s="147"/>
      <c r="K48" s="149"/>
      <c r="L48" s="146"/>
      <c r="M48" s="147"/>
      <c r="N48" s="147"/>
      <c r="Q48" s="146"/>
      <c r="R48" s="147"/>
      <c r="V48" s="150"/>
      <c r="W48" s="147"/>
      <c r="Z48" s="75">
        <v>10</v>
      </c>
      <c r="AA48" s="147">
        <v>228</v>
      </c>
      <c r="AD48" s="76"/>
      <c r="AE48" s="77"/>
      <c r="AH48" s="76">
        <v>12</v>
      </c>
      <c r="AI48" s="77">
        <v>112</v>
      </c>
    </row>
    <row r="49" spans="1:36" x14ac:dyDescent="0.35">
      <c r="A49" s="145">
        <v>45981</v>
      </c>
      <c r="B49" s="76">
        <v>6</v>
      </c>
      <c r="C49" s="61"/>
      <c r="D49" s="77">
        <v>196</v>
      </c>
      <c r="E49" s="147"/>
      <c r="F49" s="149"/>
      <c r="G49" s="76"/>
      <c r="H49" s="148"/>
      <c r="I49" s="77"/>
      <c r="J49" s="149"/>
      <c r="K49" s="149"/>
      <c r="L49" s="146"/>
      <c r="M49" s="147"/>
      <c r="N49" s="147"/>
      <c r="R49" s="77"/>
      <c r="S49" s="147"/>
      <c r="V49" s="153">
        <v>10</v>
      </c>
      <c r="W49" s="147">
        <v>0</v>
      </c>
      <c r="Z49" s="75"/>
      <c r="AB49" s="75"/>
      <c r="AD49" s="76"/>
      <c r="AE49" s="77"/>
      <c r="AH49" s="76"/>
      <c r="AI49" s="77"/>
    </row>
    <row r="50" spans="1:36" x14ac:dyDescent="0.35">
      <c r="A50" s="145">
        <v>45982</v>
      </c>
      <c r="B50" s="76">
        <v>12</v>
      </c>
      <c r="C50" s="61"/>
      <c r="D50" s="77">
        <v>324</v>
      </c>
      <c r="E50" s="147"/>
      <c r="F50" s="149"/>
      <c r="G50" s="76"/>
      <c r="H50" s="148"/>
      <c r="I50" s="77"/>
      <c r="J50" s="149"/>
      <c r="K50" s="149"/>
      <c r="L50" s="146"/>
      <c r="M50" s="147"/>
      <c r="N50" s="147"/>
      <c r="S50" s="147"/>
      <c r="V50" s="153"/>
      <c r="W50" s="147"/>
      <c r="Z50" s="75">
        <v>10</v>
      </c>
      <c r="AA50" s="77">
        <v>0</v>
      </c>
      <c r="AD50" s="76"/>
      <c r="AE50" s="77"/>
      <c r="AH50" s="76"/>
      <c r="AI50" s="77"/>
    </row>
    <row r="51" spans="1:36" x14ac:dyDescent="0.35">
      <c r="A51" s="145">
        <v>45983</v>
      </c>
      <c r="B51" s="76">
        <v>12</v>
      </c>
      <c r="C51" s="61"/>
      <c r="D51" s="77">
        <v>442</v>
      </c>
      <c r="E51" s="147"/>
      <c r="F51" s="149"/>
      <c r="G51" s="76"/>
      <c r="H51" s="148"/>
      <c r="I51" s="77"/>
      <c r="J51" s="147"/>
      <c r="K51" s="149"/>
      <c r="L51" s="146">
        <v>10</v>
      </c>
      <c r="M51" s="147">
        <v>574</v>
      </c>
      <c r="N51" s="147"/>
      <c r="O51" s="147">
        <v>168</v>
      </c>
      <c r="S51" s="147"/>
      <c r="T51" s="147"/>
      <c r="U51" s="147"/>
      <c r="V51" s="153"/>
      <c r="X51" s="147"/>
      <c r="AD51" s="76"/>
      <c r="AE51" s="77"/>
      <c r="AH51" s="76"/>
      <c r="AI51" s="77"/>
    </row>
    <row r="52" spans="1:36" x14ac:dyDescent="0.35">
      <c r="A52" s="145">
        <v>45984</v>
      </c>
      <c r="B52" s="76"/>
      <c r="C52" s="61"/>
      <c r="D52" s="77"/>
      <c r="E52" s="147"/>
      <c r="F52" s="149"/>
      <c r="G52" s="76"/>
      <c r="H52" s="148"/>
      <c r="I52" s="77"/>
      <c r="J52" s="147"/>
      <c r="K52" s="149"/>
      <c r="L52" s="146">
        <v>6</v>
      </c>
      <c r="M52" s="147"/>
      <c r="N52" s="77">
        <v>0</v>
      </c>
      <c r="R52" s="16"/>
      <c r="S52" s="147"/>
      <c r="V52" s="153"/>
      <c r="W52" s="147"/>
      <c r="Z52" s="75">
        <v>9</v>
      </c>
      <c r="AA52" s="147">
        <v>157.5</v>
      </c>
      <c r="AD52" s="76"/>
      <c r="AE52" s="77"/>
      <c r="AH52" s="76"/>
      <c r="AI52" s="77"/>
    </row>
    <row r="53" spans="1:36" x14ac:dyDescent="0.35">
      <c r="A53" s="145">
        <v>45985</v>
      </c>
      <c r="B53" s="76">
        <v>12</v>
      </c>
      <c r="C53" s="61"/>
      <c r="D53" s="160">
        <v>340</v>
      </c>
      <c r="E53" s="147"/>
      <c r="F53" s="149"/>
      <c r="G53" s="76"/>
      <c r="H53" s="148"/>
      <c r="I53" s="77"/>
      <c r="J53" s="149"/>
      <c r="K53" s="149"/>
      <c r="L53" s="146"/>
      <c r="M53" s="147"/>
      <c r="N53" s="147"/>
      <c r="O53" s="16"/>
      <c r="T53" s="16"/>
      <c r="U53" s="16"/>
      <c r="V53" s="153"/>
      <c r="W53" s="147"/>
      <c r="Z53" s="75">
        <v>9</v>
      </c>
      <c r="AA53" s="77">
        <v>0</v>
      </c>
      <c r="AD53" s="76"/>
      <c r="AE53" s="77"/>
      <c r="AH53" s="76"/>
      <c r="AI53" s="77"/>
    </row>
    <row r="54" spans="1:36" x14ac:dyDescent="0.35">
      <c r="A54" s="145">
        <v>45986</v>
      </c>
      <c r="B54" s="76">
        <v>12</v>
      </c>
      <c r="C54" s="61"/>
      <c r="D54" s="77">
        <v>0</v>
      </c>
      <c r="E54" s="147"/>
      <c r="F54" s="149"/>
      <c r="G54" s="76"/>
      <c r="H54" s="148"/>
      <c r="I54" s="77"/>
      <c r="J54" s="149"/>
      <c r="K54" s="149"/>
      <c r="L54" s="146"/>
      <c r="M54" s="147"/>
      <c r="N54" s="147"/>
      <c r="V54" s="153"/>
      <c r="W54" s="147"/>
      <c r="Z54" s="75">
        <v>10</v>
      </c>
      <c r="AA54" s="77"/>
      <c r="AB54" s="77">
        <v>1000</v>
      </c>
      <c r="AD54" s="76"/>
      <c r="AE54" s="77"/>
      <c r="AH54" s="76"/>
      <c r="AI54" s="77"/>
    </row>
    <row r="55" spans="1:36" x14ac:dyDescent="0.35">
      <c r="A55" s="145">
        <v>45987</v>
      </c>
      <c r="B55" s="76"/>
      <c r="C55" s="61"/>
      <c r="D55" s="77"/>
      <c r="E55" s="147"/>
      <c r="F55" s="149"/>
      <c r="G55" s="76"/>
      <c r="H55" s="148"/>
      <c r="I55" s="77"/>
      <c r="J55" s="149"/>
      <c r="K55" s="149"/>
      <c r="L55" s="146"/>
      <c r="M55" s="147"/>
      <c r="S55" s="147"/>
      <c r="V55" s="153"/>
      <c r="W55" s="147"/>
      <c r="Z55" s="75">
        <v>9.5</v>
      </c>
      <c r="AA55" s="77">
        <v>752</v>
      </c>
      <c r="AB55" s="77">
        <v>750</v>
      </c>
      <c r="AD55" s="76"/>
      <c r="AE55" s="77"/>
      <c r="AH55" s="76">
        <v>12</v>
      </c>
      <c r="AI55" s="77">
        <v>196</v>
      </c>
      <c r="AJ55" s="77">
        <v>210</v>
      </c>
    </row>
    <row r="56" spans="1:36" x14ac:dyDescent="0.35">
      <c r="A56" s="145">
        <v>45988</v>
      </c>
      <c r="B56" s="76"/>
      <c r="C56" s="61"/>
      <c r="D56" s="77"/>
      <c r="E56" s="147"/>
      <c r="F56" s="149"/>
      <c r="G56" s="76"/>
      <c r="H56" s="148"/>
      <c r="I56" s="77"/>
      <c r="J56" s="154"/>
      <c r="K56" s="149"/>
      <c r="L56" s="146">
        <v>6.5</v>
      </c>
      <c r="M56" s="147"/>
      <c r="N56" s="147">
        <v>725</v>
      </c>
      <c r="V56" s="153"/>
      <c r="W56" s="147"/>
      <c r="Z56" s="75"/>
      <c r="AA56" s="147"/>
      <c r="AD56" s="76"/>
      <c r="AE56" s="77"/>
      <c r="AH56" s="76"/>
      <c r="AI56" s="77"/>
    </row>
    <row r="57" spans="1:36" x14ac:dyDescent="0.35">
      <c r="A57" s="145">
        <v>45989</v>
      </c>
      <c r="B57" s="76">
        <v>13</v>
      </c>
      <c r="C57" s="61"/>
      <c r="D57" s="77">
        <v>1654</v>
      </c>
      <c r="E57" s="147"/>
      <c r="F57" s="149"/>
      <c r="G57" s="76"/>
      <c r="H57" s="148"/>
      <c r="I57" s="77"/>
      <c r="J57" s="149"/>
      <c r="K57" s="149"/>
      <c r="L57" s="146"/>
      <c r="M57" s="147"/>
      <c r="N57" s="147"/>
      <c r="O57" s="147"/>
      <c r="V57" s="153"/>
      <c r="W57" s="147"/>
      <c r="Z57" s="75"/>
      <c r="AA57" s="147"/>
      <c r="AD57" s="76"/>
      <c r="AE57" s="77"/>
      <c r="AH57" s="76"/>
      <c r="AI57" s="77"/>
    </row>
    <row r="58" spans="1:36" x14ac:dyDescent="0.35">
      <c r="A58" s="145">
        <v>45990</v>
      </c>
      <c r="B58" s="76">
        <v>13</v>
      </c>
      <c r="C58" s="61"/>
      <c r="D58" s="77">
        <v>1446</v>
      </c>
      <c r="E58" s="147">
        <v>480</v>
      </c>
      <c r="F58" s="149"/>
      <c r="G58" s="76"/>
      <c r="H58" s="148"/>
      <c r="I58" s="77"/>
      <c r="J58" s="149"/>
      <c r="K58" s="149"/>
      <c r="L58" s="153"/>
      <c r="M58" s="147"/>
      <c r="N58" s="147"/>
      <c r="S58" s="147">
        <v>105</v>
      </c>
      <c r="V58" s="153"/>
      <c r="W58" s="147"/>
      <c r="Z58" s="75"/>
      <c r="AA58" s="147"/>
      <c r="AD58" s="76"/>
      <c r="AE58" s="77"/>
      <c r="AH58" s="76"/>
      <c r="AI58" s="77"/>
    </row>
    <row r="59" spans="1:36" x14ac:dyDescent="0.35">
      <c r="A59" s="145">
        <v>45991</v>
      </c>
      <c r="B59" s="76"/>
      <c r="C59" s="61"/>
      <c r="D59" s="77"/>
      <c r="E59" s="147"/>
      <c r="F59" s="149"/>
      <c r="G59" s="76"/>
      <c r="H59" s="148"/>
      <c r="I59" s="77"/>
      <c r="J59" s="149"/>
      <c r="K59" s="149"/>
      <c r="L59" s="153">
        <v>7</v>
      </c>
      <c r="M59" s="147"/>
      <c r="N59" s="147">
        <v>533</v>
      </c>
      <c r="O59" s="147">
        <v>450</v>
      </c>
      <c r="V59" s="153"/>
      <c r="W59" s="147"/>
      <c r="Z59" s="75"/>
      <c r="AA59" s="147"/>
      <c r="AD59" s="76"/>
      <c r="AE59" s="77"/>
      <c r="AH59" s="76"/>
      <c r="AI59" s="77"/>
    </row>
    <row r="60" spans="1:36" x14ac:dyDescent="0.35">
      <c r="A60" s="145"/>
      <c r="B60" s="146"/>
      <c r="C60" s="147"/>
      <c r="D60" s="147"/>
      <c r="E60" s="147"/>
      <c r="F60" s="149"/>
      <c r="G60" s="146"/>
      <c r="H60" s="148"/>
      <c r="I60" s="147"/>
      <c r="J60" s="149"/>
      <c r="K60" s="149"/>
      <c r="L60" s="153"/>
      <c r="M60" s="147"/>
      <c r="N60" s="147"/>
      <c r="Q60" s="153"/>
      <c r="R60" s="147"/>
      <c r="S60" s="147"/>
      <c r="V60" s="75"/>
      <c r="W60" s="147"/>
      <c r="Z60" s="75"/>
      <c r="AA60" s="77"/>
      <c r="AD60" s="102"/>
      <c r="AE60" s="77"/>
      <c r="AH60" s="102"/>
      <c r="AI60" s="77"/>
    </row>
    <row r="61" spans="1:36" x14ac:dyDescent="0.35">
      <c r="AE61" s="77"/>
      <c r="AI61" s="7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17E3-4CAE-4FB3-964D-AB8D0D66CB59}">
  <dimension ref="A1:AC61"/>
  <sheetViews>
    <sheetView tabSelected="1" topLeftCell="A28" zoomScale="82" zoomScaleNormal="82" workbookViewId="0">
      <selection activeCell="M55" sqref="M55"/>
    </sheetView>
  </sheetViews>
  <sheetFormatPr defaultRowHeight="14.5" x14ac:dyDescent="0.35"/>
  <cols>
    <col min="1" max="1" width="26" customWidth="1"/>
    <col min="2" max="2" width="12.90625" customWidth="1"/>
    <col min="3" max="3" width="9.81640625" customWidth="1"/>
    <col min="4" max="4" width="10.1796875" customWidth="1"/>
    <col min="5" max="5" width="12.54296875" customWidth="1"/>
    <col min="6" max="6" width="2.453125" customWidth="1"/>
    <col min="7" max="7" width="9.179687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72656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8" width="10.1796875" customWidth="1"/>
    <col min="19" max="19" width="12.54296875" customWidth="1"/>
    <col min="20" max="20" width="8.08984375" customWidth="1"/>
    <col min="21" max="21" width="2.26953125" customWidth="1"/>
    <col min="22" max="22" width="7.81640625" style="7" customWidth="1"/>
    <col min="23" max="23" width="11.1796875" style="7" customWidth="1"/>
    <col min="24" max="24" width="8.36328125" style="7" customWidth="1"/>
    <col min="25" max="25" width="10.36328125" customWidth="1"/>
    <col min="26" max="26" width="2.81640625" customWidth="1"/>
    <col min="27" max="27" width="9.1796875" style="98" customWidth="1"/>
    <col min="28" max="28" width="10.90625" style="94" customWidth="1"/>
    <col min="29" max="29" width="9.36328125" customWidth="1"/>
  </cols>
  <sheetData>
    <row r="1" spans="1:29" ht="17.5" x14ac:dyDescent="0.35">
      <c r="A1" s="106" t="s">
        <v>59</v>
      </c>
      <c r="C1" s="2"/>
      <c r="D1" s="2"/>
      <c r="E1" s="107" t="s">
        <v>0</v>
      </c>
      <c r="L1" s="108"/>
      <c r="M1" s="109"/>
      <c r="N1" s="109"/>
      <c r="Q1" s="108"/>
      <c r="R1" s="109"/>
      <c r="S1" s="109"/>
    </row>
    <row r="2" spans="1:29" x14ac:dyDescent="0.35">
      <c r="A2" s="107"/>
      <c r="B2" s="9"/>
      <c r="C2" s="2"/>
      <c r="D2" s="2"/>
      <c r="L2" s="108"/>
      <c r="M2" s="109"/>
      <c r="N2" s="109"/>
      <c r="Q2" s="108"/>
      <c r="R2" s="109"/>
      <c r="S2" s="109"/>
    </row>
    <row r="3" spans="1:29" x14ac:dyDescent="0.35">
      <c r="A3" s="107"/>
      <c r="B3" s="10"/>
      <c r="C3" s="2"/>
      <c r="D3" s="2"/>
      <c r="L3" s="108"/>
      <c r="M3" s="109"/>
      <c r="N3" s="109"/>
      <c r="Q3" s="108"/>
      <c r="R3" s="109"/>
      <c r="S3" s="109"/>
    </row>
    <row r="4" spans="1:29" x14ac:dyDescent="0.35">
      <c r="A4" s="107" t="s">
        <v>1</v>
      </c>
      <c r="B4" s="110">
        <f>B14+G14+L14+V14+AA14</f>
        <v>336</v>
      </c>
      <c r="C4" s="2"/>
      <c r="D4" s="2"/>
      <c r="L4" s="108"/>
      <c r="M4" s="109"/>
      <c r="N4" s="109"/>
      <c r="Q4" s="108"/>
      <c r="R4" s="109"/>
      <c r="S4" s="109"/>
    </row>
    <row r="5" spans="1:29" x14ac:dyDescent="0.35">
      <c r="A5" s="107" t="s">
        <v>62</v>
      </c>
      <c r="B5" s="111">
        <f>B15+G15+H4615+L15+Q15+V15</f>
        <v>665</v>
      </c>
      <c r="C5" s="2"/>
      <c r="D5" s="2"/>
      <c r="L5" s="108"/>
      <c r="M5" s="109"/>
      <c r="N5" s="109"/>
      <c r="Q5" s="108"/>
      <c r="R5" s="109"/>
      <c r="S5" s="109"/>
    </row>
    <row r="6" spans="1:29" x14ac:dyDescent="0.35">
      <c r="A6" s="107" t="s">
        <v>41</v>
      </c>
      <c r="B6" s="112">
        <f>B16+G16+L16+Q16+AA16</f>
        <v>13500.5</v>
      </c>
      <c r="C6" s="2"/>
      <c r="D6" s="2"/>
      <c r="L6" s="108"/>
      <c r="M6" s="109"/>
      <c r="N6" s="109"/>
      <c r="Q6" s="108"/>
      <c r="R6" s="109"/>
      <c r="S6" s="109"/>
    </row>
    <row r="7" spans="1:29" x14ac:dyDescent="0.35">
      <c r="A7" s="107" t="s">
        <v>4</v>
      </c>
      <c r="B7" s="113">
        <f>B5+B6+C7</f>
        <v>16455.5</v>
      </c>
      <c r="C7" s="15">
        <f>SUM(C17+H9+H17+M17+R17+W17+AB17)</f>
        <v>2290</v>
      </c>
      <c r="D7" s="161"/>
      <c r="E7" s="16"/>
      <c r="L7" s="108"/>
      <c r="M7" s="109"/>
      <c r="N7" s="109"/>
      <c r="Q7" s="108"/>
      <c r="R7" s="109"/>
      <c r="S7" s="109"/>
    </row>
    <row r="8" spans="1:29" x14ac:dyDescent="0.35">
      <c r="A8" s="107" t="s">
        <v>5</v>
      </c>
      <c r="B8" s="113">
        <f>B22+G22+L22+V22</f>
        <v>5235.05</v>
      </c>
      <c r="C8" s="2"/>
      <c r="D8" s="2"/>
      <c r="L8" s="108"/>
      <c r="M8" s="109"/>
      <c r="N8" s="109"/>
      <c r="Q8" s="108"/>
      <c r="R8" s="109"/>
      <c r="S8" s="109"/>
    </row>
    <row r="9" spans="1:29" x14ac:dyDescent="0.35">
      <c r="A9" s="107"/>
      <c r="B9" s="114"/>
      <c r="L9" s="108"/>
      <c r="M9" s="109"/>
      <c r="N9" s="109"/>
      <c r="Q9" s="108"/>
      <c r="R9" s="109"/>
      <c r="S9" s="109"/>
    </row>
    <row r="10" spans="1:29" x14ac:dyDescent="0.35">
      <c r="A10" s="107" t="s">
        <v>6</v>
      </c>
      <c r="B10" s="113">
        <f>B8+B23+L26</f>
        <v>5435.05</v>
      </c>
      <c r="C10" s="2"/>
      <c r="D10" s="2"/>
      <c r="L10" s="108"/>
      <c r="M10" s="109"/>
      <c r="N10" s="109"/>
      <c r="Q10" s="108"/>
      <c r="R10" s="109"/>
      <c r="S10" s="109"/>
    </row>
    <row r="11" spans="1:29" x14ac:dyDescent="0.35">
      <c r="B11" s="115"/>
      <c r="C11" s="2"/>
      <c r="D11" s="2"/>
      <c r="G11" s="115"/>
      <c r="L11" s="108"/>
      <c r="M11" s="109"/>
      <c r="N11" s="109"/>
      <c r="Q11" s="108"/>
      <c r="R11" s="109"/>
      <c r="S11" s="109"/>
      <c r="V11" s="116"/>
    </row>
    <row r="12" spans="1:29" x14ac:dyDescent="0.35">
      <c r="B12" s="115" t="s">
        <v>7</v>
      </c>
      <c r="C12" s="2"/>
      <c r="D12" s="2"/>
      <c r="G12" s="115" t="s">
        <v>8</v>
      </c>
      <c r="H12" s="117"/>
      <c r="I12" s="108"/>
      <c r="J12" s="108"/>
      <c r="L12" s="115" t="s">
        <v>9</v>
      </c>
      <c r="M12" s="109"/>
      <c r="N12" s="109"/>
      <c r="Q12" s="115" t="s">
        <v>11</v>
      </c>
      <c r="R12" s="109"/>
      <c r="S12" s="109"/>
      <c r="V12" s="115" t="s">
        <v>33</v>
      </c>
      <c r="Y12" s="7"/>
      <c r="AA12" s="158" t="s">
        <v>55</v>
      </c>
      <c r="AB12" s="95"/>
      <c r="AC12" s="7"/>
    </row>
    <row r="13" spans="1:29" x14ac:dyDescent="0.35">
      <c r="B13" s="115"/>
      <c r="C13" s="2"/>
      <c r="D13" s="2"/>
      <c r="G13" s="115"/>
      <c r="H13" s="117"/>
      <c r="I13" s="108"/>
      <c r="J13" s="108"/>
      <c r="L13" s="115"/>
      <c r="M13" s="109"/>
      <c r="N13" s="109"/>
      <c r="Q13" s="115"/>
      <c r="R13" s="109"/>
      <c r="S13" s="109"/>
      <c r="V13" s="115"/>
      <c r="Y13" s="7"/>
      <c r="AA13" s="157" t="s">
        <v>57</v>
      </c>
      <c r="AB13" s="95"/>
      <c r="AC13" s="7"/>
    </row>
    <row r="14" spans="1:29" x14ac:dyDescent="0.35">
      <c r="A14" s="115" t="s">
        <v>12</v>
      </c>
      <c r="B14" s="119">
        <f>SUM(B31:B62)</f>
        <v>132</v>
      </c>
      <c r="C14" s="2"/>
      <c r="D14" s="2"/>
      <c r="G14" s="120">
        <f>SUM(G30:G60)</f>
        <v>109.5</v>
      </c>
      <c r="H14" s="117"/>
      <c r="I14" s="108"/>
      <c r="J14" s="108"/>
      <c r="L14" s="120">
        <f>SUM(L30:L62)</f>
        <v>74</v>
      </c>
      <c r="M14" s="109"/>
      <c r="N14" s="109"/>
      <c r="Q14" s="120">
        <f>SUM(Q30:Q62)</f>
        <v>0</v>
      </c>
      <c r="R14" s="109"/>
      <c r="S14" s="109"/>
      <c r="V14" s="120">
        <f>SUM(V28:V60)</f>
        <v>0</v>
      </c>
      <c r="W14" s="117"/>
      <c r="X14" s="108"/>
      <c r="Y14" s="108"/>
      <c r="AA14" s="120">
        <f>SUM(AA28:AA60)</f>
        <v>20.5</v>
      </c>
      <c r="AB14" s="117"/>
      <c r="AC14" s="108"/>
    </row>
    <row r="15" spans="1:29" x14ac:dyDescent="0.35">
      <c r="A15" s="107" t="s">
        <v>40</v>
      </c>
      <c r="B15" s="121">
        <f>SUM(C30:C59)</f>
        <v>665</v>
      </c>
      <c r="C15" s="2"/>
      <c r="D15" s="2"/>
      <c r="G15" s="122">
        <f>SUM(H30:H60)</f>
        <v>0</v>
      </c>
      <c r="H15" s="117"/>
      <c r="I15" s="108"/>
      <c r="J15" s="108"/>
      <c r="L15" s="122">
        <f>SUM(M30:M60)</f>
        <v>0</v>
      </c>
      <c r="M15" s="109"/>
      <c r="N15" s="109"/>
      <c r="Q15" s="122">
        <f>SUM(R30:R60)</f>
        <v>0</v>
      </c>
      <c r="R15" s="109"/>
      <c r="S15" s="109"/>
      <c r="V15" s="123">
        <f>SUM(W30:W60)</f>
        <v>0</v>
      </c>
      <c r="W15" s="117"/>
      <c r="X15" s="108"/>
      <c r="Y15" s="108"/>
      <c r="AA15" s="122"/>
      <c r="AB15" s="117"/>
      <c r="AC15" s="108"/>
    </row>
    <row r="16" spans="1:29" x14ac:dyDescent="0.35">
      <c r="A16" s="115" t="s">
        <v>41</v>
      </c>
      <c r="B16" s="122">
        <f>SUM(D30:D60)</f>
        <v>4341.5</v>
      </c>
      <c r="C16" s="2"/>
      <c r="D16" s="2"/>
      <c r="G16" s="122">
        <f>SUM(I30:I60)</f>
        <v>4595</v>
      </c>
      <c r="H16" s="117"/>
      <c r="I16" s="108"/>
      <c r="J16" s="108"/>
      <c r="L16" s="122">
        <f>SUM(N30:N60)</f>
        <v>3694</v>
      </c>
      <c r="M16" s="109"/>
      <c r="N16" s="109"/>
      <c r="Q16" s="122">
        <f>SUM(S30:S60)</f>
        <v>870</v>
      </c>
      <c r="R16" s="109"/>
      <c r="S16" s="109"/>
      <c r="V16" s="122"/>
      <c r="W16" s="117"/>
      <c r="X16" s="108"/>
      <c r="Y16" s="108"/>
      <c r="AA16" s="122">
        <f>SUM(AB30:AB61)</f>
        <v>0</v>
      </c>
      <c r="AB16" s="117"/>
      <c r="AC16" s="108"/>
    </row>
    <row r="17" spans="1:29" x14ac:dyDescent="0.35">
      <c r="A17" s="115" t="s">
        <v>13</v>
      </c>
      <c r="B17" s="122">
        <f>B15+B16+C17</f>
        <v>6566.5</v>
      </c>
      <c r="C17" s="124">
        <f>SUM(E30:E61)</f>
        <v>1560</v>
      </c>
      <c r="D17" s="125"/>
      <c r="E17" s="27"/>
      <c r="G17" s="122">
        <f>G15+G16+H17</f>
        <v>4925</v>
      </c>
      <c r="H17" s="124">
        <f>SUM(J30:J61)</f>
        <v>330</v>
      </c>
      <c r="I17" s="126"/>
      <c r="J17" s="30"/>
      <c r="L17" s="122">
        <f>L15+L16+M17</f>
        <v>4094</v>
      </c>
      <c r="M17" s="127">
        <f>SUM(O30:O60)</f>
        <v>400</v>
      </c>
      <c r="N17" s="125"/>
      <c r="O17" s="30"/>
      <c r="Q17" s="122">
        <f>Q15+Q16+R17</f>
        <v>870</v>
      </c>
      <c r="R17" s="127">
        <f>SUM(T30:T60)</f>
        <v>0</v>
      </c>
      <c r="S17" s="125"/>
      <c r="T17" s="30"/>
      <c r="U17" s="30"/>
      <c r="V17" s="122">
        <f>V15+V16</f>
        <v>0</v>
      </c>
      <c r="W17" s="127">
        <f>SUM(Y30:Y60)</f>
        <v>0</v>
      </c>
      <c r="X17" s="125"/>
      <c r="Y17" s="125"/>
      <c r="AA17" s="122">
        <f>AA15+AA16</f>
        <v>0</v>
      </c>
      <c r="AB17" s="128">
        <f>SUM(AC30:AC60)</f>
        <v>0</v>
      </c>
      <c r="AC17" s="125"/>
    </row>
    <row r="18" spans="1:29" x14ac:dyDescent="0.35">
      <c r="A18" s="108" t="s">
        <v>14</v>
      </c>
      <c r="B18" s="121">
        <v>12</v>
      </c>
      <c r="C18" s="2"/>
      <c r="D18" s="2"/>
      <c r="G18" s="122">
        <v>11</v>
      </c>
      <c r="H18" s="117"/>
      <c r="I18" s="108"/>
      <c r="J18" s="108"/>
      <c r="L18" s="122">
        <v>12</v>
      </c>
      <c r="M18" s="109"/>
      <c r="N18" s="109"/>
      <c r="Q18" s="122"/>
      <c r="R18" s="109"/>
      <c r="S18" s="109"/>
      <c r="V18" s="122">
        <v>11</v>
      </c>
      <c r="W18" s="117"/>
      <c r="X18" s="108"/>
      <c r="Y18" s="108"/>
      <c r="AA18" s="122">
        <v>10</v>
      </c>
      <c r="AB18" s="117"/>
      <c r="AC18" s="108"/>
    </row>
    <row r="19" spans="1:29" x14ac:dyDescent="0.35">
      <c r="A19" s="108" t="s">
        <v>15</v>
      </c>
      <c r="B19" s="129">
        <v>10</v>
      </c>
      <c r="C19" s="109">
        <v>10</v>
      </c>
      <c r="D19" s="109"/>
      <c r="G19" s="130">
        <v>10</v>
      </c>
      <c r="H19" s="117">
        <v>10</v>
      </c>
      <c r="I19" s="108"/>
      <c r="J19" s="108"/>
      <c r="L19" s="130">
        <v>10</v>
      </c>
      <c r="M19" s="109">
        <v>10</v>
      </c>
      <c r="N19" s="109"/>
      <c r="O19" s="108"/>
      <c r="Q19" s="130"/>
      <c r="R19" s="109"/>
      <c r="S19" s="109"/>
      <c r="T19" s="108"/>
      <c r="U19" s="108"/>
      <c r="V19" s="130">
        <v>10</v>
      </c>
      <c r="W19" s="117">
        <v>10</v>
      </c>
      <c r="X19" s="108"/>
      <c r="Y19" s="108"/>
      <c r="AA19" s="130">
        <v>10</v>
      </c>
      <c r="AB19" s="117">
        <v>10</v>
      </c>
      <c r="AC19" s="108"/>
    </row>
    <row r="20" spans="1:29" x14ac:dyDescent="0.35">
      <c r="A20" s="108" t="s">
        <v>16</v>
      </c>
      <c r="B20" s="121">
        <f>B18*B14</f>
        <v>1584</v>
      </c>
      <c r="D20" s="109"/>
      <c r="G20" s="122">
        <f>G18*G14</f>
        <v>1204.5</v>
      </c>
      <c r="H20" s="117"/>
      <c r="I20" s="108"/>
      <c r="J20" s="108"/>
      <c r="L20" s="122">
        <f>L18*L14</f>
        <v>888</v>
      </c>
      <c r="M20" s="109"/>
      <c r="N20" s="109"/>
      <c r="O20" s="108"/>
      <c r="Q20" s="122"/>
      <c r="R20" s="109"/>
      <c r="S20" s="109"/>
      <c r="T20" s="108"/>
      <c r="U20" s="108"/>
      <c r="V20" s="122">
        <f>V18*V14</f>
        <v>0</v>
      </c>
      <c r="W20" s="117"/>
      <c r="X20" s="108"/>
      <c r="Y20" s="108"/>
      <c r="AA20" s="122">
        <f>AA18*AA14</f>
        <v>205</v>
      </c>
      <c r="AB20" s="117"/>
      <c r="AC20" s="108"/>
    </row>
    <row r="21" spans="1:29" x14ac:dyDescent="0.35">
      <c r="A21" s="108" t="s">
        <v>17</v>
      </c>
      <c r="B21" s="122">
        <f>B17*(B19/100)+C21</f>
        <v>656.65000000000009</v>
      </c>
      <c r="C21" s="109"/>
      <c r="D21" s="109"/>
      <c r="E21" s="125" t="s">
        <v>18</v>
      </c>
      <c r="G21" s="122">
        <f>G17*(G19/100)</f>
        <v>492.5</v>
      </c>
      <c r="H21" s="126"/>
      <c r="I21" s="126"/>
      <c r="J21" s="125"/>
      <c r="L21" s="122">
        <f>L17*(L19/100)</f>
        <v>409.40000000000003</v>
      </c>
      <c r="M21" s="126"/>
      <c r="N21" s="109"/>
      <c r="O21" s="125"/>
      <c r="Q21" s="122"/>
      <c r="R21" s="126">
        <f>R17*(R19/100)</f>
        <v>0</v>
      </c>
      <c r="S21" s="109"/>
      <c r="T21" s="125"/>
      <c r="U21" s="125"/>
      <c r="V21" s="122">
        <f>V17*(V19/100)+W21</f>
        <v>0</v>
      </c>
      <c r="W21" s="126"/>
      <c r="X21" s="125"/>
      <c r="Y21" s="125"/>
      <c r="AA21" s="122">
        <f>AA17*(AA19/100)+AB21</f>
        <v>0</v>
      </c>
      <c r="AB21" s="126"/>
      <c r="AC21" s="125"/>
    </row>
    <row r="22" spans="1:29" x14ac:dyDescent="0.35">
      <c r="A22" s="108" t="s">
        <v>19</v>
      </c>
      <c r="B22" s="121">
        <f>B20+B21</f>
        <v>2240.65</v>
      </c>
      <c r="C22" s="109"/>
      <c r="D22" s="109"/>
      <c r="G22" s="122">
        <f>G20+G21</f>
        <v>1697</v>
      </c>
      <c r="H22" s="117"/>
      <c r="I22" s="108"/>
      <c r="J22" s="108"/>
      <c r="L22" s="122">
        <f>L20+L21</f>
        <v>1297.4000000000001</v>
      </c>
      <c r="M22" s="109"/>
      <c r="N22" s="109"/>
      <c r="O22" s="108"/>
      <c r="Q22" s="122"/>
      <c r="R22" s="109"/>
      <c r="S22" s="109"/>
      <c r="T22" s="108"/>
      <c r="U22" s="108"/>
      <c r="V22" s="122">
        <f>V20+V21</f>
        <v>0</v>
      </c>
      <c r="W22" s="117"/>
      <c r="Y22" s="108"/>
      <c r="AA22" s="122">
        <f>AA20+AA21</f>
        <v>205</v>
      </c>
      <c r="AB22" s="117"/>
      <c r="AC22" s="108"/>
    </row>
    <row r="23" spans="1:29" x14ac:dyDescent="0.35">
      <c r="A23" s="131" t="s">
        <v>20</v>
      </c>
      <c r="B23" s="132"/>
      <c r="C23" s="109"/>
      <c r="D23" s="109"/>
      <c r="G23" s="121"/>
      <c r="H23" s="117"/>
      <c r="I23" s="108"/>
      <c r="J23" s="108"/>
      <c r="L23" s="121"/>
      <c r="M23" s="109"/>
      <c r="N23" s="109"/>
      <c r="O23" s="108"/>
      <c r="Q23" s="121"/>
      <c r="R23" s="109"/>
      <c r="S23" s="109"/>
      <c r="T23" s="108"/>
      <c r="U23" s="108"/>
      <c r="V23" s="121"/>
      <c r="W23" s="117"/>
      <c r="X23" s="108"/>
      <c r="Y23" s="108"/>
      <c r="AA23" s="122"/>
      <c r="AB23" s="117"/>
      <c r="AC23" s="108"/>
    </row>
    <row r="24" spans="1:29" x14ac:dyDescent="0.35">
      <c r="A24" s="131" t="s">
        <v>21</v>
      </c>
      <c r="B24" s="132"/>
      <c r="C24" s="109"/>
      <c r="D24" s="109"/>
      <c r="G24" s="121"/>
      <c r="H24" s="117"/>
      <c r="I24" s="108"/>
      <c r="J24" s="108"/>
      <c r="L24" s="121"/>
      <c r="M24" s="109"/>
      <c r="N24" s="109"/>
      <c r="O24" s="108"/>
      <c r="Q24" s="121"/>
      <c r="R24" s="109"/>
      <c r="S24" s="108"/>
      <c r="T24" s="108"/>
      <c r="U24" s="108"/>
      <c r="V24" s="121"/>
      <c r="W24" s="117"/>
      <c r="X24" s="108"/>
      <c r="Y24" s="108"/>
      <c r="AA24" s="122"/>
      <c r="AB24" s="117"/>
      <c r="AC24" s="108"/>
    </row>
    <row r="25" spans="1:29" x14ac:dyDescent="0.35">
      <c r="A25" s="131" t="s">
        <v>22</v>
      </c>
      <c r="B25" s="132"/>
      <c r="C25" s="109"/>
      <c r="D25" s="109"/>
      <c r="G25" s="121"/>
      <c r="H25" s="117"/>
      <c r="I25" s="108"/>
      <c r="J25" s="108"/>
      <c r="L25" s="121"/>
      <c r="M25" s="109"/>
      <c r="N25" s="109"/>
      <c r="O25" s="108"/>
      <c r="Q25" s="121"/>
      <c r="R25" s="109"/>
      <c r="S25" s="109"/>
      <c r="T25" s="108"/>
      <c r="U25" s="108"/>
      <c r="V25" s="121"/>
      <c r="W25" s="117"/>
      <c r="X25" s="108"/>
      <c r="Y25" s="108"/>
      <c r="AA25" s="122"/>
      <c r="AB25" s="117"/>
      <c r="AC25" s="108"/>
    </row>
    <row r="26" spans="1:29" x14ac:dyDescent="0.35">
      <c r="A26" s="108" t="s">
        <v>23</v>
      </c>
      <c r="B26" s="121"/>
      <c r="C26" s="109"/>
      <c r="D26" s="109"/>
      <c r="G26" s="121"/>
      <c r="H26" s="117"/>
      <c r="I26" s="108"/>
      <c r="J26" s="108"/>
      <c r="L26" s="133">
        <v>200</v>
      </c>
      <c r="M26" s="109"/>
      <c r="N26" s="109"/>
      <c r="O26" s="108"/>
      <c r="Q26" s="133"/>
      <c r="R26" s="109"/>
      <c r="S26" s="109"/>
      <c r="T26" s="108"/>
      <c r="U26" s="108"/>
      <c r="V26" s="121"/>
      <c r="W26" s="117"/>
      <c r="X26" s="108"/>
      <c r="Y26" s="108"/>
      <c r="AA26" s="122"/>
      <c r="AB26" s="117"/>
      <c r="AC26" s="108"/>
    </row>
    <row r="27" spans="1:29" x14ac:dyDescent="0.35">
      <c r="A27" s="108" t="s">
        <v>24</v>
      </c>
      <c r="B27" s="134">
        <f>B22-B24+B26</f>
        <v>2240.65</v>
      </c>
      <c r="C27" s="109"/>
      <c r="D27" s="109"/>
      <c r="G27" s="135">
        <f>G22-G25+G26</f>
        <v>1697</v>
      </c>
      <c r="H27" s="117"/>
      <c r="I27" s="108"/>
      <c r="J27" s="108"/>
      <c r="L27" s="135">
        <f>L22+L26</f>
        <v>1497.4</v>
      </c>
      <c r="O27" s="108"/>
      <c r="Q27" s="135"/>
      <c r="T27" s="108"/>
      <c r="U27" s="108"/>
      <c r="V27" s="135">
        <f>V22-V25+V26</f>
        <v>0</v>
      </c>
      <c r="W27" s="117"/>
      <c r="X27" s="108"/>
      <c r="Y27" s="108"/>
      <c r="AA27" s="135">
        <f>AA22-AA25+AA26</f>
        <v>205</v>
      </c>
      <c r="AB27" s="117"/>
      <c r="AC27" s="108"/>
    </row>
    <row r="28" spans="1:29" x14ac:dyDescent="0.35">
      <c r="A28" s="108"/>
      <c r="B28" s="108"/>
      <c r="C28" s="109"/>
      <c r="D28" s="109"/>
      <c r="G28" s="108"/>
      <c r="H28" s="117"/>
      <c r="I28" s="108"/>
      <c r="J28" s="108"/>
      <c r="L28" s="108"/>
      <c r="M28" s="109"/>
      <c r="N28" s="109"/>
      <c r="O28" s="108"/>
      <c r="Q28" s="108"/>
      <c r="R28" s="109"/>
      <c r="S28" s="109"/>
      <c r="T28" s="108"/>
      <c r="U28" s="108"/>
      <c r="V28" s="136"/>
      <c r="W28" s="136"/>
    </row>
    <row r="29" spans="1:29" ht="36" customHeight="1" x14ac:dyDescent="0.35">
      <c r="A29" s="108" t="s">
        <v>25</v>
      </c>
      <c r="B29" s="137" t="s">
        <v>26</v>
      </c>
      <c r="C29" s="138" t="s">
        <v>61</v>
      </c>
      <c r="D29" s="89" t="s">
        <v>42</v>
      </c>
      <c r="E29" s="140" t="s">
        <v>60</v>
      </c>
      <c r="F29" s="141" t="s">
        <v>30</v>
      </c>
      <c r="G29" s="137" t="s">
        <v>26</v>
      </c>
      <c r="H29" s="138" t="s">
        <v>27</v>
      </c>
      <c r="I29" s="139" t="s">
        <v>42</v>
      </c>
      <c r="J29" s="140" t="s">
        <v>29</v>
      </c>
      <c r="L29" s="137" t="s">
        <v>26</v>
      </c>
      <c r="M29" s="142" t="s">
        <v>27</v>
      </c>
      <c r="N29" s="139" t="s">
        <v>42</v>
      </c>
      <c r="O29" s="140" t="s">
        <v>29</v>
      </c>
      <c r="Q29" s="137" t="s">
        <v>26</v>
      </c>
      <c r="R29" s="142" t="s">
        <v>27</v>
      </c>
      <c r="S29" s="139" t="s">
        <v>42</v>
      </c>
      <c r="T29" s="140" t="s">
        <v>29</v>
      </c>
      <c r="U29" s="143"/>
      <c r="V29" s="137" t="s">
        <v>26</v>
      </c>
      <c r="W29" s="142" t="s">
        <v>27</v>
      </c>
      <c r="X29" s="140" t="s">
        <v>29</v>
      </c>
      <c r="Y29" s="140" t="s">
        <v>29</v>
      </c>
      <c r="AA29" s="144" t="s">
        <v>26</v>
      </c>
      <c r="AB29" s="139" t="s">
        <v>42</v>
      </c>
      <c r="AC29" s="140" t="s">
        <v>29</v>
      </c>
    </row>
    <row r="30" spans="1:29" x14ac:dyDescent="0.35">
      <c r="A30" s="145">
        <v>45992</v>
      </c>
      <c r="B30" s="76"/>
      <c r="C30" s="61"/>
      <c r="D30" s="77"/>
      <c r="E30" s="147"/>
      <c r="F30" s="147"/>
      <c r="G30" s="76"/>
      <c r="H30" s="148"/>
      <c r="I30" s="77"/>
      <c r="J30" s="149"/>
      <c r="K30" s="149"/>
      <c r="L30" s="146"/>
      <c r="M30" s="147"/>
      <c r="N30" s="147"/>
      <c r="O30" s="147"/>
      <c r="P30" s="149"/>
      <c r="Q30" s="146"/>
      <c r="R30" s="147"/>
      <c r="S30" s="147"/>
      <c r="T30" s="147"/>
      <c r="U30" s="147"/>
      <c r="V30" s="150"/>
      <c r="X30" s="151"/>
      <c r="AA30" s="76"/>
    </row>
    <row r="31" spans="1:29" x14ac:dyDescent="0.35">
      <c r="A31" s="145">
        <v>45993</v>
      </c>
      <c r="B31" s="76">
        <v>12</v>
      </c>
      <c r="C31" s="61"/>
      <c r="D31" s="61">
        <v>580</v>
      </c>
      <c r="E31" s="147"/>
      <c r="F31" s="147"/>
      <c r="G31" s="76"/>
      <c r="H31" s="148"/>
      <c r="I31" s="77"/>
      <c r="J31" s="149"/>
      <c r="K31" s="149"/>
      <c r="L31" s="146"/>
      <c r="M31" s="147"/>
      <c r="O31" s="147"/>
      <c r="P31" s="149"/>
      <c r="Q31" s="146"/>
      <c r="R31" s="147"/>
      <c r="S31" s="147"/>
      <c r="T31" s="147"/>
      <c r="U31" s="147"/>
      <c r="V31" s="75"/>
      <c r="W31" s="77"/>
      <c r="X31" s="151"/>
      <c r="AA31" s="76"/>
      <c r="AB31" s="77"/>
    </row>
    <row r="32" spans="1:29" x14ac:dyDescent="0.35">
      <c r="A32" s="145">
        <v>45994</v>
      </c>
      <c r="B32" s="76">
        <v>6</v>
      </c>
      <c r="C32" s="61">
        <v>665</v>
      </c>
      <c r="D32" s="77"/>
      <c r="E32" s="147"/>
      <c r="F32" s="149"/>
      <c r="G32" s="76"/>
      <c r="H32" s="61"/>
      <c r="I32" s="77"/>
      <c r="J32" s="149"/>
      <c r="K32" s="149"/>
      <c r="L32" s="146">
        <v>11.5</v>
      </c>
      <c r="M32" s="147"/>
      <c r="N32" s="61">
        <v>528</v>
      </c>
      <c r="O32" s="147"/>
      <c r="P32" s="149"/>
      <c r="Q32" s="146"/>
      <c r="R32" s="147"/>
      <c r="S32" s="147"/>
      <c r="T32" s="147"/>
      <c r="U32" s="147"/>
      <c r="V32" s="150"/>
      <c r="W32" s="151"/>
      <c r="X32" s="151"/>
      <c r="AA32" s="76"/>
      <c r="AB32" s="77"/>
    </row>
    <row r="33" spans="1:28" x14ac:dyDescent="0.35">
      <c r="A33" s="145">
        <v>45995</v>
      </c>
      <c r="B33" s="76"/>
      <c r="C33" s="61"/>
      <c r="D33" s="77"/>
      <c r="E33" s="147"/>
      <c r="F33" s="149"/>
      <c r="G33" s="76"/>
      <c r="H33" s="148"/>
      <c r="I33" s="77"/>
      <c r="J33" s="149"/>
      <c r="K33" s="149"/>
      <c r="L33" s="146">
        <v>7</v>
      </c>
      <c r="M33" s="147"/>
      <c r="N33" s="147">
        <v>380</v>
      </c>
      <c r="O33" s="147"/>
      <c r="P33" s="149"/>
      <c r="Q33" s="146"/>
      <c r="R33" s="147"/>
      <c r="S33" s="147">
        <v>630</v>
      </c>
      <c r="T33" s="147"/>
      <c r="U33" s="147"/>
      <c r="V33" s="75"/>
      <c r="W33" s="151"/>
      <c r="X33" s="151"/>
      <c r="AA33" s="76"/>
      <c r="AB33" s="77"/>
    </row>
    <row r="34" spans="1:28" x14ac:dyDescent="0.35">
      <c r="A34" s="145">
        <v>45996</v>
      </c>
      <c r="B34" s="76">
        <v>13</v>
      </c>
      <c r="C34" s="61"/>
      <c r="D34" s="77">
        <v>0</v>
      </c>
      <c r="E34" s="147"/>
      <c r="F34" s="149"/>
      <c r="G34" s="76"/>
      <c r="H34" s="148"/>
      <c r="I34" s="77"/>
      <c r="J34" s="149"/>
      <c r="K34" s="149"/>
      <c r="L34" s="146"/>
      <c r="M34" s="147"/>
      <c r="N34" s="147"/>
      <c r="Q34" s="146"/>
      <c r="R34" s="147"/>
      <c r="V34" s="150"/>
      <c r="W34" s="151"/>
      <c r="AA34" s="76"/>
      <c r="AB34" s="77"/>
    </row>
    <row r="35" spans="1:28" x14ac:dyDescent="0.35">
      <c r="A35" s="145">
        <v>45997</v>
      </c>
      <c r="B35" s="76">
        <v>13</v>
      </c>
      <c r="C35" s="61"/>
      <c r="D35" s="77">
        <v>364</v>
      </c>
      <c r="E35" s="147"/>
      <c r="F35" s="149"/>
      <c r="G35" s="76"/>
      <c r="H35" s="148"/>
      <c r="I35" s="77"/>
      <c r="J35" s="149"/>
      <c r="K35" s="149"/>
      <c r="L35" s="146"/>
      <c r="M35" s="147"/>
      <c r="N35" s="147"/>
      <c r="Q35" s="146"/>
      <c r="R35" s="147"/>
      <c r="S35" s="61"/>
      <c r="V35" s="150"/>
      <c r="W35" s="151"/>
      <c r="X35" s="151"/>
      <c r="AA35" s="76"/>
      <c r="AB35" s="77"/>
    </row>
    <row r="36" spans="1:28" x14ac:dyDescent="0.35">
      <c r="A36" s="145">
        <v>45998</v>
      </c>
      <c r="B36" s="76"/>
      <c r="C36" s="61"/>
      <c r="D36" s="77"/>
      <c r="E36" s="147"/>
      <c r="F36" s="149"/>
      <c r="G36" s="76"/>
      <c r="H36" s="148"/>
      <c r="I36" s="77"/>
      <c r="J36" s="149"/>
      <c r="K36" s="149"/>
      <c r="L36" s="146">
        <v>7</v>
      </c>
      <c r="M36" s="147"/>
      <c r="N36" s="147">
        <v>0</v>
      </c>
      <c r="Q36" s="146"/>
      <c r="R36" s="147"/>
      <c r="S36" s="147"/>
      <c r="V36" s="150"/>
      <c r="W36" s="147"/>
      <c r="AA36" s="76"/>
      <c r="AB36" s="77"/>
    </row>
    <row r="37" spans="1:28" x14ac:dyDescent="0.35">
      <c r="A37" s="145">
        <v>45999</v>
      </c>
      <c r="B37" s="76"/>
      <c r="C37" s="61"/>
      <c r="D37" s="77"/>
      <c r="E37" s="147"/>
      <c r="F37" s="149"/>
      <c r="G37" s="76">
        <v>9</v>
      </c>
      <c r="H37" s="148"/>
      <c r="I37" s="77">
        <v>900</v>
      </c>
      <c r="J37" s="149"/>
      <c r="K37" s="149"/>
      <c r="L37" s="146"/>
      <c r="M37" s="147"/>
      <c r="Q37" s="146"/>
      <c r="R37" s="147"/>
      <c r="V37" s="75"/>
      <c r="W37" s="147"/>
      <c r="AA37" s="76"/>
      <c r="AB37" s="77"/>
    </row>
    <row r="38" spans="1:28" x14ac:dyDescent="0.35">
      <c r="A38" s="145">
        <v>46000</v>
      </c>
      <c r="B38" s="76">
        <v>12.5</v>
      </c>
      <c r="C38" s="61"/>
      <c r="D38" s="77">
        <v>785.5</v>
      </c>
      <c r="E38" s="147"/>
      <c r="F38" s="149"/>
      <c r="G38" s="76"/>
      <c r="H38" s="148"/>
      <c r="I38" s="77"/>
      <c r="K38" s="149"/>
      <c r="L38" s="146"/>
      <c r="M38" s="147"/>
      <c r="N38" s="147"/>
      <c r="Q38" s="146"/>
      <c r="R38" s="147"/>
      <c r="S38" s="147"/>
      <c r="V38" s="75"/>
      <c r="W38" s="151"/>
      <c r="AA38" s="76"/>
      <c r="AB38" s="77"/>
    </row>
    <row r="39" spans="1:28" ht="15" customHeight="1" x14ac:dyDescent="0.35">
      <c r="A39" s="145">
        <v>46001</v>
      </c>
      <c r="B39" s="76"/>
      <c r="C39" s="61"/>
      <c r="D39" s="77"/>
      <c r="E39" s="147"/>
      <c r="F39" s="149"/>
      <c r="G39" s="76">
        <v>7.5</v>
      </c>
      <c r="H39" s="148"/>
      <c r="I39" s="77">
        <v>105</v>
      </c>
      <c r="J39" s="147">
        <v>180</v>
      </c>
      <c r="K39" s="149"/>
      <c r="L39" s="146"/>
      <c r="M39" s="147"/>
      <c r="N39" s="147"/>
      <c r="Q39" s="146"/>
      <c r="R39" s="147"/>
      <c r="S39" s="147"/>
      <c r="V39" s="150"/>
      <c r="W39" s="147"/>
      <c r="AA39" s="76">
        <v>5</v>
      </c>
      <c r="AB39" s="77">
        <v>0</v>
      </c>
    </row>
    <row r="40" spans="1:28" x14ac:dyDescent="0.35">
      <c r="A40" s="145">
        <v>46002</v>
      </c>
      <c r="B40" s="76"/>
      <c r="C40" s="61"/>
      <c r="D40" s="77"/>
      <c r="E40" s="147"/>
      <c r="F40" s="149"/>
      <c r="G40" s="76">
        <v>6.5</v>
      </c>
      <c r="H40" s="148"/>
      <c r="I40" s="77">
        <v>0</v>
      </c>
      <c r="J40" s="149"/>
      <c r="K40" s="149"/>
      <c r="L40" s="146">
        <v>6</v>
      </c>
      <c r="M40" s="147"/>
      <c r="N40" s="147">
        <v>645</v>
      </c>
      <c r="Q40" s="146"/>
      <c r="R40" s="147"/>
      <c r="S40" s="147"/>
      <c r="V40" s="150"/>
      <c r="W40" s="151"/>
      <c r="X40" s="147"/>
      <c r="AA40" s="76"/>
      <c r="AB40" s="77"/>
    </row>
    <row r="41" spans="1:28" x14ac:dyDescent="0.35">
      <c r="A41" s="145">
        <v>46003</v>
      </c>
      <c r="C41" s="61"/>
      <c r="D41" s="77">
        <v>266</v>
      </c>
      <c r="E41" s="147"/>
      <c r="F41" s="149"/>
      <c r="G41" s="76">
        <v>13</v>
      </c>
      <c r="H41" s="148"/>
      <c r="I41" s="77">
        <v>264</v>
      </c>
      <c r="J41" s="149"/>
      <c r="K41" s="149"/>
      <c r="L41" s="146"/>
      <c r="M41" s="147"/>
      <c r="N41" s="147"/>
      <c r="Q41" s="146"/>
      <c r="R41" s="147"/>
      <c r="S41" s="147"/>
      <c r="V41" s="150"/>
      <c r="W41" s="147"/>
      <c r="AA41" s="76"/>
      <c r="AB41" s="77"/>
    </row>
    <row r="42" spans="1:28" x14ac:dyDescent="0.35">
      <c r="A42" s="145">
        <v>46004</v>
      </c>
      <c r="B42" s="76">
        <v>13</v>
      </c>
      <c r="C42" s="61"/>
      <c r="D42" s="77">
        <v>182</v>
      </c>
      <c r="E42" s="147">
        <v>300</v>
      </c>
      <c r="F42" s="149"/>
      <c r="G42" s="76"/>
      <c r="H42" s="148"/>
      <c r="I42" s="77">
        <v>192</v>
      </c>
      <c r="J42" s="149"/>
      <c r="K42" s="149"/>
      <c r="L42" s="146"/>
      <c r="M42" s="147"/>
      <c r="N42" s="147"/>
      <c r="Q42" s="146"/>
      <c r="R42" s="147"/>
      <c r="S42" s="147"/>
      <c r="V42" s="75"/>
      <c r="W42" s="147"/>
      <c r="AA42" s="76"/>
      <c r="AB42" s="77"/>
    </row>
    <row r="43" spans="1:28" x14ac:dyDescent="0.35">
      <c r="A43" s="145">
        <v>46005</v>
      </c>
      <c r="B43" s="76"/>
      <c r="C43" s="61"/>
      <c r="D43" s="77"/>
      <c r="E43" s="147"/>
      <c r="F43" s="149"/>
      <c r="G43" s="76"/>
      <c r="H43" s="148"/>
      <c r="I43" s="77"/>
      <c r="J43" s="147"/>
      <c r="K43" s="149"/>
      <c r="L43" s="146">
        <v>6</v>
      </c>
      <c r="M43" s="147"/>
      <c r="N43" s="147">
        <v>0</v>
      </c>
      <c r="Q43" s="146"/>
      <c r="R43" s="147"/>
      <c r="S43" s="147">
        <v>240</v>
      </c>
      <c r="V43" s="75"/>
      <c r="W43" s="151"/>
      <c r="AA43" s="76"/>
      <c r="AB43" s="77"/>
    </row>
    <row r="44" spans="1:28" x14ac:dyDescent="0.35">
      <c r="A44" s="145">
        <v>46006</v>
      </c>
      <c r="B44" s="76"/>
      <c r="C44" s="61"/>
      <c r="D44" s="77"/>
      <c r="E44" s="147"/>
      <c r="F44" s="149"/>
      <c r="G44" s="76"/>
      <c r="H44" s="148"/>
      <c r="I44" s="77"/>
      <c r="J44" s="149"/>
      <c r="K44" s="149"/>
      <c r="L44" s="146"/>
      <c r="M44" s="147"/>
      <c r="O44" s="147"/>
      <c r="Q44" s="146"/>
      <c r="R44" s="147"/>
      <c r="S44" s="147"/>
      <c r="V44" s="104"/>
      <c r="AA44" s="76"/>
      <c r="AB44" s="77"/>
    </row>
    <row r="45" spans="1:28" x14ac:dyDescent="0.35">
      <c r="A45" s="145">
        <v>46007</v>
      </c>
      <c r="B45" s="76">
        <v>12.5</v>
      </c>
      <c r="C45" s="61"/>
      <c r="D45" s="77">
        <v>504</v>
      </c>
      <c r="E45" s="147"/>
      <c r="F45" s="149"/>
      <c r="G45" s="76"/>
      <c r="H45" s="148"/>
      <c r="I45" s="77"/>
      <c r="J45" s="149"/>
      <c r="K45" s="149"/>
      <c r="L45" s="146"/>
      <c r="M45" s="147"/>
      <c r="N45" s="77"/>
      <c r="O45" s="147"/>
      <c r="Q45" s="146"/>
      <c r="R45" s="147"/>
      <c r="S45" s="147"/>
      <c r="T45" s="147"/>
      <c r="V45" s="104"/>
      <c r="AA45" s="76"/>
      <c r="AB45" s="77"/>
    </row>
    <row r="46" spans="1:28" x14ac:dyDescent="0.35">
      <c r="A46" s="145">
        <v>46008</v>
      </c>
      <c r="B46" s="76"/>
      <c r="C46" s="61"/>
      <c r="D46" s="77"/>
      <c r="E46" s="147"/>
      <c r="F46" s="149"/>
      <c r="G46" s="76">
        <v>7.5</v>
      </c>
      <c r="H46" s="148"/>
      <c r="I46" s="77">
        <v>421</v>
      </c>
      <c r="J46" s="149"/>
      <c r="K46" s="149"/>
      <c r="L46" s="146"/>
      <c r="M46" s="147"/>
      <c r="N46" s="147"/>
      <c r="Q46" s="146"/>
      <c r="R46" s="147"/>
      <c r="S46" s="147"/>
      <c r="V46" s="104"/>
      <c r="AA46" s="76">
        <v>5</v>
      </c>
      <c r="AB46" s="77">
        <v>0</v>
      </c>
    </row>
    <row r="47" spans="1:28" x14ac:dyDescent="0.35">
      <c r="A47" s="145">
        <v>46009</v>
      </c>
      <c r="B47" s="76"/>
      <c r="C47" s="61"/>
      <c r="D47" s="77"/>
      <c r="E47" s="147"/>
      <c r="F47" s="149"/>
      <c r="G47" s="76">
        <v>12.5</v>
      </c>
      <c r="H47" s="148"/>
      <c r="I47" s="77">
        <v>224</v>
      </c>
      <c r="J47" s="149"/>
      <c r="K47" s="149"/>
      <c r="L47" s="146"/>
      <c r="M47" s="147"/>
      <c r="Q47" s="146"/>
      <c r="R47" s="147"/>
      <c r="S47" s="147"/>
      <c r="V47" s="75"/>
      <c r="W47" s="147"/>
      <c r="AA47" s="76"/>
      <c r="AB47" s="77"/>
    </row>
    <row r="48" spans="1:28" x14ac:dyDescent="0.35">
      <c r="A48" s="145">
        <v>46010</v>
      </c>
      <c r="B48" s="76"/>
      <c r="C48" s="61"/>
      <c r="D48" s="77"/>
      <c r="E48" s="147"/>
      <c r="F48" s="149"/>
      <c r="G48" s="76">
        <v>13</v>
      </c>
      <c r="H48" s="148"/>
      <c r="I48" s="77">
        <v>663</v>
      </c>
      <c r="J48" s="147"/>
      <c r="K48" s="149"/>
      <c r="L48" s="146"/>
      <c r="M48" s="147"/>
      <c r="N48" s="147"/>
      <c r="Q48" s="146"/>
      <c r="R48" s="147"/>
      <c r="V48" s="150"/>
      <c r="W48" s="147"/>
      <c r="AA48" s="76"/>
      <c r="AB48" s="77"/>
    </row>
    <row r="49" spans="1:29" x14ac:dyDescent="0.35">
      <c r="A49" s="145">
        <v>46011</v>
      </c>
      <c r="B49" s="76">
        <v>13</v>
      </c>
      <c r="C49" s="61"/>
      <c r="D49" s="77">
        <v>350</v>
      </c>
      <c r="E49" s="147">
        <v>480</v>
      </c>
      <c r="F49" s="149"/>
      <c r="G49" s="76"/>
      <c r="H49" s="148"/>
      <c r="I49" s="77">
        <v>1123</v>
      </c>
      <c r="J49" s="149"/>
      <c r="K49" s="149"/>
      <c r="L49" s="146"/>
      <c r="M49" s="147"/>
      <c r="N49" s="147"/>
      <c r="R49" s="77"/>
      <c r="S49" s="147"/>
      <c r="V49" s="153"/>
      <c r="W49" s="147"/>
      <c r="AA49" s="76"/>
      <c r="AB49" s="77"/>
    </row>
    <row r="50" spans="1:29" x14ac:dyDescent="0.35">
      <c r="A50" s="145">
        <v>46012</v>
      </c>
      <c r="B50" s="76"/>
      <c r="C50" s="61"/>
      <c r="D50" s="77"/>
      <c r="E50" s="147"/>
      <c r="F50" s="149"/>
      <c r="G50" s="76"/>
      <c r="H50" s="148"/>
      <c r="I50" s="77"/>
      <c r="J50" s="149"/>
      <c r="K50" s="149"/>
      <c r="L50" s="146">
        <v>12</v>
      </c>
      <c r="M50" s="147"/>
      <c r="N50" s="147">
        <v>330</v>
      </c>
      <c r="S50" s="147"/>
      <c r="V50" s="153"/>
      <c r="W50" s="147"/>
      <c r="AA50" s="76"/>
      <c r="AB50" s="77"/>
    </row>
    <row r="51" spans="1:29" x14ac:dyDescent="0.35">
      <c r="A51" s="145">
        <v>46013</v>
      </c>
      <c r="B51" s="76"/>
      <c r="C51" s="61"/>
      <c r="D51" s="77"/>
      <c r="E51" s="147"/>
      <c r="F51" s="149"/>
      <c r="G51" s="76">
        <v>6</v>
      </c>
      <c r="H51" s="148"/>
      <c r="I51" s="77">
        <v>0</v>
      </c>
      <c r="J51" s="147"/>
      <c r="K51" s="149"/>
      <c r="L51" s="146">
        <v>6.5</v>
      </c>
      <c r="M51" s="147"/>
      <c r="N51" s="147">
        <v>180</v>
      </c>
      <c r="O51" s="147"/>
      <c r="S51" s="147"/>
      <c r="T51" s="147"/>
      <c r="U51" s="147"/>
      <c r="V51" s="153"/>
      <c r="X51" s="147"/>
      <c r="AA51" s="76"/>
      <c r="AB51" s="77"/>
    </row>
    <row r="52" spans="1:29" x14ac:dyDescent="0.35">
      <c r="A52" s="145">
        <v>46014</v>
      </c>
      <c r="B52" s="76">
        <v>13</v>
      </c>
      <c r="C52" s="61"/>
      <c r="D52" s="77">
        <v>1038</v>
      </c>
      <c r="E52" s="147"/>
      <c r="F52" s="149"/>
      <c r="G52" s="76"/>
      <c r="H52" s="148"/>
      <c r="I52" s="77"/>
      <c r="J52" s="147"/>
      <c r="K52" s="149"/>
      <c r="L52" s="146"/>
      <c r="M52" s="147"/>
      <c r="N52" s="77"/>
      <c r="R52" s="16"/>
      <c r="S52" s="147"/>
      <c r="V52" s="153"/>
      <c r="W52" s="147"/>
      <c r="AA52" s="76"/>
      <c r="AB52" s="77"/>
    </row>
    <row r="53" spans="1:29" x14ac:dyDescent="0.35">
      <c r="A53" s="145">
        <v>46015</v>
      </c>
      <c r="B53" s="76"/>
      <c r="C53" s="61"/>
      <c r="D53" s="77"/>
      <c r="E53" s="147"/>
      <c r="F53" s="149"/>
      <c r="G53" s="76">
        <v>7</v>
      </c>
      <c r="H53" s="148"/>
      <c r="I53" s="77">
        <v>0</v>
      </c>
      <c r="J53" s="149"/>
      <c r="K53" s="149"/>
      <c r="L53" s="146"/>
      <c r="M53" s="147"/>
      <c r="N53" s="147"/>
      <c r="O53" s="16"/>
      <c r="T53" s="16"/>
      <c r="U53" s="16"/>
      <c r="V53" s="153"/>
      <c r="W53" s="147"/>
      <c r="AA53" s="76">
        <v>6</v>
      </c>
      <c r="AB53" s="77">
        <v>0</v>
      </c>
    </row>
    <row r="54" spans="1:29" x14ac:dyDescent="0.35">
      <c r="A54" s="145">
        <v>46016</v>
      </c>
      <c r="B54" s="76"/>
      <c r="C54" s="61"/>
      <c r="D54" s="77"/>
      <c r="E54" s="147"/>
      <c r="F54" s="149"/>
      <c r="G54" s="76"/>
      <c r="H54" s="148"/>
      <c r="I54" s="77"/>
      <c r="J54" s="149"/>
      <c r="K54" s="149"/>
      <c r="L54" s="146">
        <v>12</v>
      </c>
      <c r="M54" s="147"/>
      <c r="N54" s="147">
        <v>1435</v>
      </c>
      <c r="O54" s="147">
        <v>400</v>
      </c>
      <c r="V54" s="153"/>
      <c r="W54" s="147"/>
      <c r="AA54" s="76"/>
      <c r="AB54" s="77"/>
    </row>
    <row r="55" spans="1:29" x14ac:dyDescent="0.35">
      <c r="A55" s="145">
        <v>46017</v>
      </c>
      <c r="B55" s="76">
        <v>12</v>
      </c>
      <c r="C55" s="61"/>
      <c r="D55" s="77">
        <v>272</v>
      </c>
      <c r="E55" s="147"/>
      <c r="F55" s="149"/>
      <c r="G55" s="76"/>
      <c r="H55" s="148"/>
      <c r="I55" s="77"/>
      <c r="J55" s="149"/>
      <c r="K55" s="149"/>
      <c r="L55" s="146"/>
      <c r="M55" s="147"/>
      <c r="S55" s="147"/>
      <c r="V55" s="153"/>
      <c r="W55" s="147"/>
      <c r="AA55" s="76"/>
      <c r="AB55" s="77"/>
      <c r="AC55" s="77"/>
    </row>
    <row r="56" spans="1:29" x14ac:dyDescent="0.35">
      <c r="A56" s="145">
        <v>46018</v>
      </c>
      <c r="B56" s="76"/>
      <c r="C56" s="61"/>
      <c r="D56" s="77"/>
      <c r="E56" s="147"/>
      <c r="F56" s="149"/>
      <c r="G56" s="76">
        <v>12</v>
      </c>
      <c r="H56" s="148"/>
      <c r="I56" s="77">
        <v>192</v>
      </c>
      <c r="J56" s="154"/>
      <c r="K56" s="149"/>
      <c r="L56" s="146"/>
      <c r="M56" s="147"/>
      <c r="N56" s="147"/>
      <c r="V56" s="153"/>
      <c r="W56" s="147"/>
      <c r="AA56" s="76"/>
      <c r="AB56" s="77"/>
    </row>
    <row r="57" spans="1:29" x14ac:dyDescent="0.35">
      <c r="A57" s="145">
        <v>46019</v>
      </c>
      <c r="B57" s="76"/>
      <c r="C57" s="61"/>
      <c r="D57" s="77"/>
      <c r="E57" s="147"/>
      <c r="F57" s="149"/>
      <c r="G57" s="76"/>
      <c r="H57" s="148"/>
      <c r="I57" s="77"/>
      <c r="J57" s="149"/>
      <c r="K57" s="149"/>
      <c r="L57" s="146">
        <v>6</v>
      </c>
      <c r="M57" s="147"/>
      <c r="N57" s="147">
        <v>196</v>
      </c>
      <c r="O57" s="147"/>
      <c r="V57" s="153"/>
      <c r="W57" s="147"/>
      <c r="AA57" s="76"/>
      <c r="AB57" s="77"/>
    </row>
    <row r="58" spans="1:29" x14ac:dyDescent="0.35">
      <c r="A58" s="145">
        <v>46020</v>
      </c>
      <c r="B58" s="76"/>
      <c r="C58" s="61"/>
      <c r="D58" s="77"/>
      <c r="E58" s="147"/>
      <c r="F58" s="149"/>
      <c r="G58" s="76">
        <v>8</v>
      </c>
      <c r="H58" s="148"/>
      <c r="I58" s="77">
        <v>315</v>
      </c>
      <c r="J58" s="149"/>
      <c r="K58" s="149"/>
      <c r="L58" s="153"/>
      <c r="M58" s="147"/>
      <c r="N58" s="147"/>
      <c r="S58" s="147"/>
      <c r="V58" s="153"/>
      <c r="W58" s="147"/>
      <c r="AA58" s="76"/>
      <c r="AB58" s="77"/>
    </row>
    <row r="59" spans="1:29" x14ac:dyDescent="0.35">
      <c r="A59" s="145">
        <v>46021</v>
      </c>
      <c r="B59" s="76">
        <v>12</v>
      </c>
      <c r="C59" s="61"/>
      <c r="D59" s="77"/>
      <c r="E59" s="147">
        <v>780</v>
      </c>
      <c r="F59" s="149"/>
      <c r="G59" s="76"/>
      <c r="H59" s="148"/>
      <c r="I59" s="77"/>
      <c r="J59" s="149"/>
      <c r="K59" s="149"/>
      <c r="L59" s="153"/>
      <c r="M59" s="147"/>
      <c r="N59" s="147"/>
      <c r="O59" s="147"/>
      <c r="V59" s="153"/>
      <c r="W59" s="147"/>
      <c r="AA59" s="76"/>
      <c r="AB59" s="77"/>
    </row>
    <row r="60" spans="1:29" x14ac:dyDescent="0.35">
      <c r="A60" s="145">
        <v>46022</v>
      </c>
      <c r="B60" s="146"/>
      <c r="C60" s="147"/>
      <c r="D60" s="147"/>
      <c r="E60" s="147"/>
      <c r="F60" s="149"/>
      <c r="G60" s="146">
        <v>7.5</v>
      </c>
      <c r="H60" s="148"/>
      <c r="I60" s="147">
        <v>196</v>
      </c>
      <c r="J60" s="149">
        <v>150</v>
      </c>
      <c r="K60" s="149"/>
      <c r="L60" s="153"/>
      <c r="M60" s="147"/>
      <c r="N60" s="147"/>
      <c r="Q60" s="153"/>
      <c r="R60" s="147"/>
      <c r="S60" s="147"/>
      <c r="V60" s="75"/>
      <c r="W60" s="147"/>
      <c r="AA60" s="76">
        <v>4.5</v>
      </c>
      <c r="AB60" s="77">
        <v>0</v>
      </c>
    </row>
    <row r="61" spans="1:29" x14ac:dyDescent="0.35">
      <c r="AB61" s="7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5B87-C8BF-48E6-B806-2F009E70DE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882F-EBDD-4A0D-A100-C02AB099EFFB}">
  <dimension ref="A1:AD59"/>
  <sheetViews>
    <sheetView zoomScale="72" zoomScaleNormal="72" zoomScalePageLayoutView="47" workbookViewId="0">
      <selection sqref="A1:XFD1048576"/>
    </sheetView>
  </sheetViews>
  <sheetFormatPr defaultColWidth="12.6328125" defaultRowHeight="14.5" x14ac:dyDescent="0.35"/>
  <cols>
    <col min="1" max="1" width="26" customWidth="1"/>
    <col min="2" max="2" width="13" customWidth="1"/>
    <col min="3" max="3" width="9.81640625" customWidth="1"/>
    <col min="4" max="4" width="10.1796875" customWidth="1"/>
    <col min="5" max="5" width="9.6328125" customWidth="1"/>
    <col min="6" max="6" width="2.1796875" customWidth="1"/>
    <col min="7" max="7" width="10.36328125" customWidth="1"/>
    <col min="8" max="8" width="10.6328125" style="4" customWidth="1"/>
    <col min="9" max="9" width="10.7265625" customWidth="1"/>
    <col min="10" max="10" width="8.90625" customWidth="1"/>
    <col min="11" max="11" width="2.26953125" customWidth="1"/>
    <col min="12" max="12" width="9.6328125" customWidth="1"/>
    <col min="13" max="14" width="10.1796875" customWidth="1"/>
    <col min="15" max="15" width="8.1796875" customWidth="1"/>
    <col min="16" max="16" width="2.1796875" customWidth="1"/>
    <col min="17" max="17" width="9.6328125" customWidth="1"/>
    <col min="18" max="19" width="10.1796875" customWidth="1"/>
    <col min="20" max="20" width="8.1796875" customWidth="1"/>
    <col min="21" max="21" width="2.453125" customWidth="1"/>
    <col min="22" max="22" width="11.26953125" style="7" customWidth="1"/>
    <col min="23" max="23" width="9.54296875" style="7" customWidth="1"/>
    <col min="24" max="24" width="8.36328125" style="7" customWidth="1"/>
    <col min="25" max="25" width="2.453125" style="7" customWidth="1"/>
    <col min="26" max="26" width="11.26953125" style="7" customWidth="1"/>
    <col min="27" max="27" width="9.54296875" style="7" customWidth="1"/>
    <col min="28" max="28" width="8.36328125" style="7" customWidth="1"/>
    <col min="29" max="29" width="2.7265625" customWidth="1"/>
    <col min="30" max="30" width="10.08984375" customWidth="1"/>
  </cols>
  <sheetData>
    <row r="1" spans="1:28" ht="15.75" customHeight="1" x14ac:dyDescent="0.35">
      <c r="A1" s="1" t="s">
        <v>46</v>
      </c>
      <c r="C1" s="2"/>
      <c r="D1" s="2"/>
      <c r="E1" s="3" t="s">
        <v>0</v>
      </c>
      <c r="L1" s="5"/>
      <c r="M1" s="6"/>
      <c r="N1" s="6"/>
      <c r="Q1" s="5"/>
      <c r="R1" s="6"/>
      <c r="S1" s="6"/>
    </row>
    <row r="2" spans="1:28" ht="15.75" customHeight="1" x14ac:dyDescent="0.35">
      <c r="A2" s="8"/>
      <c r="B2" s="9"/>
      <c r="C2" s="2"/>
      <c r="D2" s="2"/>
      <c r="L2" s="5"/>
      <c r="M2" s="6"/>
      <c r="N2" s="6"/>
      <c r="Q2" s="5"/>
      <c r="R2" s="6"/>
      <c r="S2" s="6"/>
    </row>
    <row r="3" spans="1:28" ht="15.75" customHeight="1" x14ac:dyDescent="0.35">
      <c r="A3" s="8"/>
      <c r="B3" s="10"/>
      <c r="C3" s="2"/>
      <c r="D3" s="2"/>
      <c r="L3" s="5"/>
      <c r="M3" s="6"/>
      <c r="N3" s="6"/>
      <c r="Q3" s="5"/>
      <c r="R3" s="6"/>
      <c r="S3" s="6"/>
    </row>
    <row r="4" spans="1:28" ht="15.75" customHeight="1" x14ac:dyDescent="0.35">
      <c r="A4" s="3" t="s">
        <v>1</v>
      </c>
      <c r="B4" s="11">
        <f>B13+G13+L13+V13+Z13</f>
        <v>526</v>
      </c>
      <c r="C4" s="2"/>
      <c r="D4" s="2"/>
      <c r="L4" s="5"/>
      <c r="M4" s="6"/>
      <c r="N4" s="6"/>
      <c r="Q4" s="5"/>
      <c r="R4" s="6"/>
      <c r="S4" s="6"/>
    </row>
    <row r="5" spans="1:28" ht="15.75" customHeight="1" x14ac:dyDescent="0.35">
      <c r="A5" s="3" t="s">
        <v>40</v>
      </c>
      <c r="B5" s="12">
        <f>B14+G14+L14+Q14+V14+Z14</f>
        <v>2304</v>
      </c>
      <c r="C5" s="2"/>
      <c r="D5" s="2"/>
      <c r="L5" s="5"/>
      <c r="M5" s="6"/>
      <c r="N5" s="6"/>
      <c r="Q5" s="5"/>
      <c r="R5" s="6"/>
      <c r="S5" s="6"/>
    </row>
    <row r="6" spans="1:28" ht="15.75" customHeight="1" x14ac:dyDescent="0.35">
      <c r="A6" s="3" t="s">
        <v>41</v>
      </c>
      <c r="B6" s="13">
        <f>B15+G15+L15+Q15</f>
        <v>21052.300000000003</v>
      </c>
      <c r="C6" s="2"/>
      <c r="D6" s="2"/>
      <c r="L6" s="5"/>
      <c r="M6" s="6"/>
      <c r="N6" s="6"/>
      <c r="Q6" s="5"/>
      <c r="R6" s="6"/>
      <c r="S6" s="6"/>
    </row>
    <row r="7" spans="1:28" ht="15.75" customHeight="1" x14ac:dyDescent="0.35">
      <c r="A7" s="3" t="s">
        <v>4</v>
      </c>
      <c r="B7" s="14">
        <f>B5+B6+C7</f>
        <v>23356.300000000003</v>
      </c>
      <c r="C7" s="15">
        <f>C16+H16+M16+W17+AB16</f>
        <v>0</v>
      </c>
      <c r="D7" s="15"/>
      <c r="E7" s="16"/>
      <c r="L7" s="5"/>
      <c r="M7" s="6"/>
      <c r="N7" s="6"/>
      <c r="Q7" s="5"/>
      <c r="R7" s="6"/>
      <c r="S7" s="6"/>
    </row>
    <row r="8" spans="1:28" ht="15.75" customHeight="1" x14ac:dyDescent="0.35">
      <c r="A8" s="3" t="s">
        <v>5</v>
      </c>
      <c r="B8" s="14">
        <f>B21+G21+L21+V21</f>
        <v>7495.83</v>
      </c>
      <c r="C8" s="2"/>
      <c r="D8" s="2"/>
      <c r="L8" s="5"/>
      <c r="M8" s="6"/>
      <c r="N8" s="6"/>
      <c r="Q8" s="5"/>
      <c r="R8" s="6"/>
      <c r="S8" s="6"/>
    </row>
    <row r="9" spans="1:28" ht="15.75" customHeight="1" x14ac:dyDescent="0.35">
      <c r="A9" s="3"/>
      <c r="B9" s="17"/>
      <c r="L9" s="5"/>
      <c r="M9" s="6"/>
      <c r="N9" s="6"/>
      <c r="Q9" s="5"/>
      <c r="R9" s="6"/>
      <c r="S9" s="6"/>
    </row>
    <row r="10" spans="1:28" ht="15.75" customHeight="1" x14ac:dyDescent="0.35">
      <c r="A10" s="3" t="s">
        <v>6</v>
      </c>
      <c r="B10" s="14">
        <f>B8+B22+L25</f>
        <v>7695.83</v>
      </c>
      <c r="C10" s="2"/>
      <c r="D10" s="2"/>
      <c r="L10" s="5"/>
      <c r="M10" s="6"/>
      <c r="N10" s="6"/>
      <c r="Q10" s="5"/>
      <c r="R10" s="6"/>
      <c r="S10" s="6"/>
    </row>
    <row r="11" spans="1:28" ht="15.75" customHeight="1" x14ac:dyDescent="0.35">
      <c r="B11" s="18"/>
      <c r="C11" s="2"/>
      <c r="D11" s="2"/>
      <c r="G11" s="18"/>
      <c r="L11" s="5"/>
      <c r="M11" s="6"/>
      <c r="N11" s="6"/>
      <c r="Q11" s="5"/>
      <c r="R11" s="6"/>
      <c r="S11" s="6"/>
      <c r="V11" s="19"/>
      <c r="Z11" s="19"/>
    </row>
    <row r="12" spans="1:28" ht="15.75" customHeight="1" x14ac:dyDescent="0.35">
      <c r="B12" s="18" t="s">
        <v>7</v>
      </c>
      <c r="C12" s="2"/>
      <c r="D12" s="2"/>
      <c r="G12" s="18" t="s">
        <v>8</v>
      </c>
      <c r="H12" s="20"/>
      <c r="I12" s="5"/>
      <c r="J12" s="5"/>
      <c r="L12" s="18" t="s">
        <v>9</v>
      </c>
      <c r="M12" s="6"/>
      <c r="N12" s="6"/>
      <c r="Q12" s="18" t="s">
        <v>11</v>
      </c>
      <c r="R12" s="6"/>
      <c r="S12" s="6"/>
      <c r="V12" s="18" t="s">
        <v>33</v>
      </c>
      <c r="Z12" s="18" t="s">
        <v>43</v>
      </c>
    </row>
    <row r="13" spans="1:28" ht="15.75" customHeight="1" x14ac:dyDescent="0.35">
      <c r="A13" s="18" t="s">
        <v>12</v>
      </c>
      <c r="B13" s="22">
        <f>SUM(B29:B61)</f>
        <v>96.5</v>
      </c>
      <c r="C13" s="2"/>
      <c r="D13" s="2"/>
      <c r="G13" s="23">
        <f>SUM(G29:G59)</f>
        <v>142</v>
      </c>
      <c r="H13" s="20"/>
      <c r="I13" s="5"/>
      <c r="J13" s="5"/>
      <c r="L13" s="23">
        <f>SUM(L29:L61)</f>
        <v>108.5</v>
      </c>
      <c r="M13" s="6"/>
      <c r="N13" s="6"/>
      <c r="Q13" s="23">
        <f>SUM(Q29:Q61)</f>
        <v>0</v>
      </c>
      <c r="R13" s="6"/>
      <c r="S13" s="6"/>
      <c r="V13" s="23">
        <f>SUM(V27:V59)</f>
        <v>152.5</v>
      </c>
      <c r="W13" s="20"/>
      <c r="X13" s="5"/>
      <c r="Y13" s="5"/>
      <c r="Z13" s="23">
        <f>SUM(Z27:Z59)</f>
        <v>26.5</v>
      </c>
      <c r="AA13" s="20"/>
      <c r="AB13" s="5"/>
    </row>
    <row r="14" spans="1:28" ht="15.75" customHeight="1" x14ac:dyDescent="0.35">
      <c r="A14" s="3" t="s">
        <v>40</v>
      </c>
      <c r="B14" s="24">
        <f>SUM(C29:C59)</f>
        <v>0</v>
      </c>
      <c r="C14" s="2"/>
      <c r="D14" s="2"/>
      <c r="G14" s="25">
        <f>SUM(H29:H59)</f>
        <v>196</v>
      </c>
      <c r="H14" s="20"/>
      <c r="I14" s="5"/>
      <c r="J14" s="5"/>
      <c r="L14" s="25">
        <f>SUM(M29:M59)</f>
        <v>378</v>
      </c>
      <c r="M14" s="6"/>
      <c r="N14" s="6"/>
      <c r="Q14" s="25">
        <f>SUM(R29:R59)</f>
        <v>454</v>
      </c>
      <c r="R14" s="6"/>
      <c r="S14" s="6"/>
      <c r="V14" s="25">
        <f>SUM(W29:W59)</f>
        <v>886</v>
      </c>
      <c r="W14" s="20"/>
      <c r="X14" s="5"/>
      <c r="Y14" s="5"/>
      <c r="Z14" s="25">
        <f>SUM(AA29:AA59)</f>
        <v>390</v>
      </c>
      <c r="AA14" s="20"/>
      <c r="AB14" s="5"/>
    </row>
    <row r="15" spans="1:28" ht="15.75" customHeight="1" x14ac:dyDescent="0.35">
      <c r="A15" s="18" t="s">
        <v>41</v>
      </c>
      <c r="B15" s="25">
        <f>SUM(D29:D59)</f>
        <v>7242.4500000000007</v>
      </c>
      <c r="C15" s="2"/>
      <c r="D15" s="2"/>
      <c r="G15" s="25">
        <f>SUM(I29:I59)</f>
        <v>7216.85</v>
      </c>
      <c r="H15" s="20"/>
      <c r="I15" s="5"/>
      <c r="J15" s="5"/>
      <c r="L15" s="25">
        <f>SUM(N29:N59)</f>
        <v>3569</v>
      </c>
      <c r="M15" s="6"/>
      <c r="N15" s="6"/>
      <c r="Q15" s="25">
        <f>SUM(S29:S59)</f>
        <v>3024</v>
      </c>
      <c r="R15" s="6"/>
      <c r="S15" s="6"/>
      <c r="V15" s="25"/>
      <c r="W15" s="20"/>
      <c r="X15" s="5"/>
      <c r="Y15" s="5"/>
      <c r="Z15" s="25"/>
      <c r="AA15" s="20"/>
      <c r="AB15" s="5"/>
    </row>
    <row r="16" spans="1:28" ht="15.75" customHeight="1" x14ac:dyDescent="0.35">
      <c r="A16" s="18" t="s">
        <v>13</v>
      </c>
      <c r="B16" s="25">
        <f>B14+B15</f>
        <v>7242.4500000000007</v>
      </c>
      <c r="C16" s="28">
        <f>SUM(E29:E60)</f>
        <v>0</v>
      </c>
      <c r="D16" s="26"/>
      <c r="E16" s="27"/>
      <c r="G16" s="25">
        <f>G14+G15+H16</f>
        <v>7412.85</v>
      </c>
      <c r="H16" s="28">
        <f>SUM(J29:J60)</f>
        <v>0</v>
      </c>
      <c r="I16" s="29"/>
      <c r="J16" s="30"/>
      <c r="L16" s="25">
        <f>L14+L15+M16</f>
        <v>3947</v>
      </c>
      <c r="M16" s="26">
        <f>SUM(O29:O59)</f>
        <v>0</v>
      </c>
      <c r="N16" s="31"/>
      <c r="O16" s="30"/>
      <c r="Q16" s="25">
        <f>Q14+Q15+R16</f>
        <v>3478</v>
      </c>
      <c r="R16" s="26">
        <f>SUM(T29:T59)</f>
        <v>0</v>
      </c>
      <c r="S16" s="31"/>
      <c r="T16" s="30"/>
      <c r="U16" s="30"/>
      <c r="V16" s="25">
        <f>V14+V15</f>
        <v>886</v>
      </c>
      <c r="W16" s="26">
        <f>SUM(Y29:Y59)</f>
        <v>0</v>
      </c>
      <c r="X16" s="31"/>
      <c r="Y16" s="31"/>
      <c r="Z16" s="25">
        <f>Z14+Z15</f>
        <v>390</v>
      </c>
      <c r="AA16" s="26">
        <f>SUM(AC29:AC59)</f>
        <v>0</v>
      </c>
      <c r="AB16" s="31"/>
    </row>
    <row r="17" spans="1:30" ht="15.75" customHeight="1" x14ac:dyDescent="0.35">
      <c r="A17" s="5" t="s">
        <v>14</v>
      </c>
      <c r="B17" s="24">
        <v>12</v>
      </c>
      <c r="C17" s="2"/>
      <c r="D17" s="2"/>
      <c r="G17" s="25">
        <v>11</v>
      </c>
      <c r="H17" s="20"/>
      <c r="I17" s="5"/>
      <c r="J17" s="5"/>
      <c r="L17" s="25">
        <v>12</v>
      </c>
      <c r="M17" s="6"/>
      <c r="N17" s="6"/>
      <c r="Q17" s="25"/>
      <c r="R17" s="6"/>
      <c r="S17" s="6"/>
      <c r="V17" s="25">
        <v>10</v>
      </c>
      <c r="W17" s="20"/>
      <c r="X17" s="5"/>
      <c r="Y17" s="5"/>
      <c r="Z17" s="25">
        <v>10</v>
      </c>
      <c r="AA17" s="20"/>
      <c r="AB17" s="5"/>
    </row>
    <row r="18" spans="1:30" ht="15.75" customHeight="1" x14ac:dyDescent="0.35">
      <c r="A18" s="5" t="s">
        <v>15</v>
      </c>
      <c r="B18" s="32">
        <v>10</v>
      </c>
      <c r="C18" s="6">
        <v>10</v>
      </c>
      <c r="D18" s="6"/>
      <c r="G18" s="33">
        <v>10</v>
      </c>
      <c r="H18" s="20">
        <v>10</v>
      </c>
      <c r="I18" s="5"/>
      <c r="J18" s="5"/>
      <c r="L18" s="33">
        <v>10</v>
      </c>
      <c r="M18" s="6">
        <v>10</v>
      </c>
      <c r="N18" s="6"/>
      <c r="O18" s="5"/>
      <c r="Q18" s="33"/>
      <c r="R18" s="6"/>
      <c r="S18" s="6"/>
      <c r="T18" s="5"/>
      <c r="U18" s="5"/>
      <c r="V18" s="33">
        <v>10</v>
      </c>
      <c r="W18" s="20">
        <v>10</v>
      </c>
      <c r="X18" s="5"/>
      <c r="Y18" s="5"/>
      <c r="Z18" s="33">
        <v>10</v>
      </c>
      <c r="AA18" s="20">
        <v>10</v>
      </c>
      <c r="AB18" s="5"/>
    </row>
    <row r="19" spans="1:30" ht="15.75" customHeight="1" x14ac:dyDescent="0.35">
      <c r="A19" s="5" t="s">
        <v>16</v>
      </c>
      <c r="B19" s="24">
        <f>B17*B13</f>
        <v>1158</v>
      </c>
      <c r="D19" s="6"/>
      <c r="G19" s="25">
        <f>G17*G13</f>
        <v>1562</v>
      </c>
      <c r="H19" s="20"/>
      <c r="I19" s="5"/>
      <c r="J19" s="5"/>
      <c r="L19" s="25">
        <f>L17*L13</f>
        <v>1302</v>
      </c>
      <c r="M19" s="6"/>
      <c r="N19" s="6"/>
      <c r="O19" s="5"/>
      <c r="Q19" s="25"/>
      <c r="R19" s="6"/>
      <c r="S19" s="6"/>
      <c r="T19" s="5"/>
      <c r="U19" s="5"/>
      <c r="V19" s="25">
        <f>V17*V13</f>
        <v>1525</v>
      </c>
      <c r="W19" s="20"/>
      <c r="X19" s="5"/>
      <c r="Y19" s="5"/>
      <c r="Z19" s="25">
        <f>Z17*Z13</f>
        <v>265</v>
      </c>
      <c r="AA19" s="20"/>
      <c r="AB19" s="5"/>
    </row>
    <row r="20" spans="1:30" ht="15.75" customHeight="1" x14ac:dyDescent="0.35">
      <c r="A20" s="5" t="s">
        <v>17</v>
      </c>
      <c r="B20" s="25">
        <f>B16*(B18/100)+C20</f>
        <v>724.24500000000012</v>
      </c>
      <c r="C20" s="34">
        <f>C16*(C18/100)</f>
        <v>0</v>
      </c>
      <c r="D20" s="34"/>
      <c r="E20" s="31" t="s">
        <v>18</v>
      </c>
      <c r="G20" s="25">
        <f>G16*(G18/100)</f>
        <v>741.28500000000008</v>
      </c>
      <c r="H20" s="28">
        <f>H16*(H18/100)</f>
        <v>0</v>
      </c>
      <c r="I20" s="29"/>
      <c r="J20" s="31"/>
      <c r="L20" s="25">
        <f>L16*(L18/100)+M20</f>
        <v>394.70000000000005</v>
      </c>
      <c r="M20" s="28">
        <f>M16*(M18/100)</f>
        <v>0</v>
      </c>
      <c r="N20" s="6"/>
      <c r="O20" s="31"/>
      <c r="Q20" s="25"/>
      <c r="R20" s="28">
        <f>R16*(R18/100)</f>
        <v>0</v>
      </c>
      <c r="S20" s="6"/>
      <c r="T20" s="31"/>
      <c r="U20" s="31"/>
      <c r="V20" s="25">
        <f>V16*(V18/100)+W20</f>
        <v>88.600000000000009</v>
      </c>
      <c r="W20" s="28">
        <f t="shared" ref="W20" si="0">W16*(W18/100)</f>
        <v>0</v>
      </c>
      <c r="X20" s="31"/>
      <c r="Y20" s="31"/>
      <c r="Z20" s="25">
        <f>Z16*(Z18/100)+AA20</f>
        <v>39</v>
      </c>
      <c r="AA20" s="28">
        <f t="shared" ref="AA20" si="1">AA16*(AA18/100)</f>
        <v>0</v>
      </c>
      <c r="AB20" s="31"/>
    </row>
    <row r="21" spans="1:30" ht="15.75" customHeight="1" x14ac:dyDescent="0.35">
      <c r="A21" s="5" t="s">
        <v>19</v>
      </c>
      <c r="B21" s="24">
        <f>B19+B20</f>
        <v>1882.2450000000001</v>
      </c>
      <c r="C21" s="6"/>
      <c r="D21" s="6"/>
      <c r="G21" s="25">
        <f>G19+G20</f>
        <v>2303.2849999999999</v>
      </c>
      <c r="H21" s="20"/>
      <c r="I21" s="5"/>
      <c r="J21" s="5"/>
      <c r="L21" s="25">
        <f>L19+L20</f>
        <v>1696.7</v>
      </c>
      <c r="M21" s="6"/>
      <c r="N21" s="6"/>
      <c r="O21" s="5"/>
      <c r="Q21" s="25"/>
      <c r="R21" s="6"/>
      <c r="S21" s="6"/>
      <c r="T21" s="5"/>
      <c r="U21" s="5"/>
      <c r="V21" s="25">
        <f>V19+V20</f>
        <v>1613.6</v>
      </c>
      <c r="W21" s="20"/>
      <c r="X21" s="5"/>
      <c r="Y21" s="5"/>
      <c r="Z21" s="25">
        <f>Z19+Z20</f>
        <v>304</v>
      </c>
      <c r="AA21" s="20"/>
      <c r="AB21" s="5"/>
    </row>
    <row r="22" spans="1:30" ht="15.75" customHeight="1" x14ac:dyDescent="0.35">
      <c r="A22" s="35" t="s">
        <v>20</v>
      </c>
      <c r="B22" s="36"/>
      <c r="C22" s="6"/>
      <c r="D22" s="6"/>
      <c r="G22" s="24"/>
      <c r="H22" s="20"/>
      <c r="I22" s="5"/>
      <c r="J22" s="5"/>
      <c r="L22" s="24"/>
      <c r="M22" s="6"/>
      <c r="N22" s="6"/>
      <c r="O22" s="5"/>
      <c r="Q22" s="24"/>
      <c r="R22" s="6"/>
      <c r="S22" s="6"/>
      <c r="T22" s="5"/>
      <c r="U22" s="5"/>
      <c r="V22" s="24"/>
      <c r="W22" s="20"/>
      <c r="X22" s="5"/>
      <c r="Y22" s="5"/>
      <c r="Z22" s="24"/>
      <c r="AA22" s="20"/>
      <c r="AB22" s="5"/>
    </row>
    <row r="23" spans="1:30" ht="15.75" customHeight="1" x14ac:dyDescent="0.35">
      <c r="A23" s="35" t="s">
        <v>21</v>
      </c>
      <c r="B23" s="36"/>
      <c r="C23" s="6"/>
      <c r="D23" s="6"/>
      <c r="G23" s="24"/>
      <c r="H23" s="20"/>
      <c r="I23" s="5"/>
      <c r="J23" s="5"/>
      <c r="L23" s="24"/>
      <c r="M23" s="6"/>
      <c r="N23" s="6"/>
      <c r="O23" s="5"/>
      <c r="Q23" s="24"/>
      <c r="R23" s="6"/>
      <c r="S23" s="6"/>
      <c r="T23" s="5"/>
      <c r="U23" s="5"/>
      <c r="V23" s="24"/>
      <c r="W23" s="20"/>
      <c r="X23" s="5"/>
      <c r="Y23" s="5"/>
      <c r="Z23" s="24"/>
      <c r="AA23" s="20"/>
      <c r="AB23" s="5"/>
    </row>
    <row r="24" spans="1:30" ht="15.75" customHeight="1" x14ac:dyDescent="0.35">
      <c r="A24" s="35" t="s">
        <v>22</v>
      </c>
      <c r="B24" s="36"/>
      <c r="C24" s="6"/>
      <c r="D24" s="6"/>
      <c r="G24" s="24"/>
      <c r="H24" s="20"/>
      <c r="I24" s="5"/>
      <c r="J24" s="5"/>
      <c r="L24" s="24"/>
      <c r="M24" s="6"/>
      <c r="N24" s="6"/>
      <c r="O24" s="5"/>
      <c r="Q24" s="24"/>
      <c r="R24" s="6"/>
      <c r="S24" s="6"/>
      <c r="T24" s="5"/>
      <c r="U24" s="5"/>
      <c r="V24" s="24"/>
      <c r="W24" s="20"/>
      <c r="X24" s="5"/>
      <c r="Y24" s="5"/>
      <c r="Z24" s="24"/>
      <c r="AA24" s="20"/>
      <c r="AB24" s="5"/>
    </row>
    <row r="25" spans="1:30" x14ac:dyDescent="0.35">
      <c r="A25" s="5" t="s">
        <v>23</v>
      </c>
      <c r="B25" s="24"/>
      <c r="C25" s="37"/>
      <c r="D25" s="37"/>
      <c r="G25" s="24"/>
      <c r="H25" s="38"/>
      <c r="I25" s="39"/>
      <c r="J25" s="5"/>
      <c r="L25" s="40">
        <v>200</v>
      </c>
      <c r="M25" s="37"/>
      <c r="N25" s="37"/>
      <c r="O25" s="5"/>
      <c r="Q25" s="40"/>
      <c r="R25" s="37"/>
      <c r="S25" s="37"/>
      <c r="T25" s="5"/>
      <c r="U25" s="5"/>
      <c r="V25" s="24"/>
      <c r="W25" s="38"/>
      <c r="X25" s="39"/>
      <c r="Y25" s="39"/>
      <c r="Z25" s="24"/>
      <c r="AA25" s="38"/>
      <c r="AB25" s="39"/>
    </row>
    <row r="26" spans="1:30" x14ac:dyDescent="0.35">
      <c r="A26" s="5" t="s">
        <v>24</v>
      </c>
      <c r="B26" s="41">
        <f>B21-B23+B25</f>
        <v>1882.2450000000001</v>
      </c>
      <c r="C26" s="6"/>
      <c r="D26" s="6"/>
      <c r="G26" s="42">
        <f>G21-G24+G25</f>
        <v>2303.2849999999999</v>
      </c>
      <c r="H26" s="20"/>
      <c r="I26" s="5"/>
      <c r="J26" s="5"/>
      <c r="L26" s="42">
        <f>L21+L25</f>
        <v>1896.7</v>
      </c>
      <c r="O26" s="5"/>
      <c r="Q26" s="42"/>
      <c r="T26" s="5"/>
      <c r="U26" s="5"/>
      <c r="V26" s="42">
        <f>V21-V24+V25</f>
        <v>1613.6</v>
      </c>
      <c r="W26" s="20"/>
      <c r="X26" s="5"/>
      <c r="Y26" s="5"/>
      <c r="Z26" s="42">
        <f>Z21-Z24+Z25</f>
        <v>304</v>
      </c>
      <c r="AA26" s="20"/>
      <c r="AB26" s="5"/>
    </row>
    <row r="27" spans="1:30" ht="15.75" customHeight="1" x14ac:dyDescent="0.35">
      <c r="A27" s="5"/>
      <c r="B27" s="5"/>
      <c r="C27" s="6"/>
      <c r="D27" s="6"/>
      <c r="G27" s="5"/>
      <c r="H27" s="20"/>
      <c r="I27" s="5"/>
      <c r="J27" s="5"/>
      <c r="L27" s="5"/>
      <c r="M27" s="6"/>
      <c r="N27" s="6"/>
      <c r="O27" s="5"/>
      <c r="Q27" s="5"/>
      <c r="R27" s="6"/>
      <c r="S27" s="6"/>
      <c r="T27" s="5"/>
      <c r="U27" s="5"/>
      <c r="V27" s="44"/>
      <c r="W27" s="44"/>
      <c r="Z27" s="44"/>
      <c r="AA27" s="44"/>
    </row>
    <row r="28" spans="1:30" ht="36" customHeight="1" x14ac:dyDescent="0.35">
      <c r="A28" s="5" t="s">
        <v>25</v>
      </c>
      <c r="B28" s="87" t="s">
        <v>26</v>
      </c>
      <c r="C28" s="88" t="s">
        <v>27</v>
      </c>
      <c r="D28" s="89" t="s">
        <v>42</v>
      </c>
      <c r="E28" s="90" t="s">
        <v>29</v>
      </c>
      <c r="F28" s="48" t="s">
        <v>30</v>
      </c>
      <c r="G28" s="87" t="s">
        <v>26</v>
      </c>
      <c r="H28" s="88" t="s">
        <v>27</v>
      </c>
      <c r="I28" s="89" t="s">
        <v>42</v>
      </c>
      <c r="J28" s="90" t="s">
        <v>29</v>
      </c>
      <c r="L28" s="87" t="s">
        <v>26</v>
      </c>
      <c r="M28" s="91" t="s">
        <v>27</v>
      </c>
      <c r="N28" s="89" t="s">
        <v>42</v>
      </c>
      <c r="O28" s="90" t="s">
        <v>29</v>
      </c>
      <c r="Q28" s="87" t="s">
        <v>26</v>
      </c>
      <c r="R28" s="91" t="s">
        <v>27</v>
      </c>
      <c r="S28" s="89" t="s">
        <v>42</v>
      </c>
      <c r="T28" s="90" t="s">
        <v>29</v>
      </c>
      <c r="U28" s="86"/>
      <c r="V28" s="87" t="s">
        <v>26</v>
      </c>
      <c r="W28" s="91" t="s">
        <v>27</v>
      </c>
      <c r="X28" s="90" t="s">
        <v>29</v>
      </c>
      <c r="Y28" s="86"/>
      <c r="Z28" s="87" t="s">
        <v>26</v>
      </c>
      <c r="AA28" s="91" t="s">
        <v>27</v>
      </c>
      <c r="AB28" s="90" t="s">
        <v>29</v>
      </c>
      <c r="AD28" s="85"/>
    </row>
    <row r="29" spans="1:30" ht="15.75" customHeight="1" x14ac:dyDescent="0.35">
      <c r="A29" s="52">
        <v>45839</v>
      </c>
      <c r="B29" s="53"/>
      <c r="C29" s="54"/>
      <c r="D29" s="54"/>
      <c r="E29" s="54"/>
      <c r="F29" s="54"/>
      <c r="G29" s="55">
        <v>8</v>
      </c>
      <c r="H29" s="56">
        <v>196</v>
      </c>
      <c r="I29" s="54"/>
      <c r="J29" s="57"/>
      <c r="K29" s="57"/>
      <c r="L29" s="53">
        <v>12</v>
      </c>
      <c r="M29" s="54"/>
      <c r="N29" s="54">
        <v>0</v>
      </c>
      <c r="O29" s="54"/>
      <c r="P29" s="57"/>
      <c r="Q29" s="53"/>
      <c r="R29" s="54"/>
      <c r="S29" s="54"/>
      <c r="T29" s="54"/>
      <c r="U29" s="54"/>
      <c r="V29" s="58"/>
      <c r="W29" s="59"/>
      <c r="X29" s="59"/>
      <c r="Y29" s="59"/>
      <c r="Z29" s="58"/>
      <c r="AA29" s="59"/>
      <c r="AB29" s="59"/>
    </row>
    <row r="30" spans="1:30" ht="15.75" customHeight="1" x14ac:dyDescent="0.35">
      <c r="A30" s="52">
        <v>45840</v>
      </c>
      <c r="B30" s="53"/>
      <c r="C30" s="54"/>
      <c r="D30" s="54"/>
      <c r="E30" s="54"/>
      <c r="F30" s="54"/>
      <c r="G30" s="53">
        <v>11.5</v>
      </c>
      <c r="I30" s="54">
        <v>0</v>
      </c>
      <c r="J30" s="57"/>
      <c r="K30" s="57"/>
      <c r="L30" s="53"/>
      <c r="M30" s="54"/>
      <c r="N30" s="54"/>
      <c r="O30" s="54"/>
      <c r="P30" s="57"/>
      <c r="Q30" s="53"/>
      <c r="R30" s="54"/>
      <c r="S30" s="54"/>
      <c r="T30" s="54"/>
      <c r="U30" s="54"/>
      <c r="V30" s="93">
        <v>10</v>
      </c>
      <c r="W30" s="59">
        <v>84</v>
      </c>
      <c r="X30" s="59"/>
      <c r="Y30" s="59"/>
      <c r="Z30" s="58"/>
      <c r="AA30" s="59"/>
      <c r="AB30" s="59"/>
      <c r="AD30" s="78"/>
    </row>
    <row r="31" spans="1:30" ht="15.75" customHeight="1" x14ac:dyDescent="0.35">
      <c r="A31" s="52">
        <v>45841</v>
      </c>
      <c r="B31" s="53">
        <v>12</v>
      </c>
      <c r="C31" s="54"/>
      <c r="D31" s="54">
        <v>988</v>
      </c>
      <c r="E31" s="54"/>
      <c r="F31" s="57"/>
      <c r="G31" s="53">
        <v>9.5</v>
      </c>
      <c r="H31" s="61">
        <v>0</v>
      </c>
      <c r="I31" s="54"/>
      <c r="J31" s="57"/>
      <c r="K31" s="57"/>
      <c r="L31" s="53"/>
      <c r="M31" s="54"/>
      <c r="N31" s="54"/>
      <c r="O31" s="54"/>
      <c r="P31" s="57"/>
      <c r="Q31" s="53"/>
      <c r="R31" s="54"/>
      <c r="S31" s="54"/>
      <c r="T31" s="54"/>
      <c r="U31" s="54"/>
      <c r="V31" s="58"/>
      <c r="W31" s="59"/>
      <c r="X31" s="59"/>
      <c r="Y31" s="59"/>
      <c r="Z31" s="58"/>
      <c r="AA31" s="59"/>
      <c r="AB31" s="59"/>
    </row>
    <row r="32" spans="1:30" ht="15.75" customHeight="1" x14ac:dyDescent="0.35">
      <c r="A32" s="52">
        <v>45842</v>
      </c>
      <c r="B32" s="53"/>
      <c r="C32" s="54"/>
      <c r="D32" s="54"/>
      <c r="E32" s="54"/>
      <c r="F32" s="57"/>
      <c r="G32" s="62"/>
      <c r="H32" s="56"/>
      <c r="I32" s="63"/>
      <c r="J32" s="57"/>
      <c r="K32" s="57"/>
      <c r="L32" s="53"/>
      <c r="M32" s="54"/>
      <c r="N32" s="54"/>
      <c r="O32" s="54"/>
      <c r="P32" s="57"/>
      <c r="Q32" s="53"/>
      <c r="R32" s="54"/>
      <c r="S32" s="54">
        <v>280</v>
      </c>
      <c r="T32" s="54"/>
      <c r="U32" s="54"/>
      <c r="V32" s="62">
        <v>8</v>
      </c>
      <c r="W32" s="59">
        <v>0</v>
      </c>
      <c r="X32" s="59"/>
      <c r="Y32" s="59"/>
      <c r="Z32" s="75"/>
      <c r="AA32" s="59"/>
      <c r="AB32" s="59"/>
    </row>
    <row r="33" spans="1:27" ht="15.65" customHeight="1" x14ac:dyDescent="0.35">
      <c r="A33" s="52">
        <v>45843</v>
      </c>
      <c r="B33" s="53">
        <v>12</v>
      </c>
      <c r="C33" s="54"/>
      <c r="D33" s="54">
        <v>883.5</v>
      </c>
      <c r="E33" s="54"/>
      <c r="F33" s="57"/>
      <c r="G33" s="53"/>
      <c r="H33" s="56"/>
      <c r="I33" s="54"/>
      <c r="J33" s="57"/>
      <c r="K33" s="57"/>
      <c r="L33" s="53"/>
      <c r="M33" s="54"/>
      <c r="Q33" s="53"/>
      <c r="R33" s="54"/>
      <c r="V33" s="93">
        <v>10</v>
      </c>
      <c r="W33" s="59">
        <v>0</v>
      </c>
      <c r="Z33" s="75"/>
    </row>
    <row r="34" spans="1:27" ht="15.75" customHeight="1" x14ac:dyDescent="0.35">
      <c r="A34" s="52">
        <v>45844</v>
      </c>
      <c r="B34" s="53"/>
      <c r="C34" s="54"/>
      <c r="D34" s="54"/>
      <c r="E34" s="54"/>
      <c r="F34" s="57"/>
      <c r="G34" s="53"/>
      <c r="H34" s="56"/>
      <c r="I34" s="54"/>
      <c r="J34" s="57"/>
      <c r="K34" s="57"/>
      <c r="L34" s="53">
        <v>12</v>
      </c>
      <c r="M34" s="54"/>
      <c r="N34" s="54">
        <v>230</v>
      </c>
      <c r="Q34" s="53"/>
      <c r="R34" s="54"/>
      <c r="V34" s="93">
        <v>10</v>
      </c>
      <c r="W34" s="59">
        <v>0</v>
      </c>
      <c r="Z34" s="75"/>
    </row>
    <row r="35" spans="1:27" x14ac:dyDescent="0.35">
      <c r="A35" s="52">
        <v>45845</v>
      </c>
      <c r="B35" s="53"/>
      <c r="C35" s="54"/>
      <c r="D35" s="54"/>
      <c r="E35" s="54"/>
      <c r="F35" s="57"/>
      <c r="G35" s="53">
        <v>12</v>
      </c>
      <c r="H35" s="56"/>
      <c r="I35" s="54">
        <v>1739</v>
      </c>
      <c r="J35" s="57"/>
      <c r="K35" s="57"/>
      <c r="L35" s="53"/>
      <c r="M35" s="54"/>
      <c r="N35" s="64"/>
      <c r="Q35" s="53"/>
      <c r="R35" s="54"/>
      <c r="S35" s="64"/>
      <c r="V35" s="93">
        <v>10</v>
      </c>
      <c r="W35" s="54">
        <v>180</v>
      </c>
      <c r="Z35" s="75"/>
      <c r="AA35" s="54"/>
    </row>
    <row r="36" spans="1:27" ht="15.65" customHeight="1" x14ac:dyDescent="0.35">
      <c r="A36" s="52">
        <v>45846</v>
      </c>
      <c r="B36" s="53">
        <v>12</v>
      </c>
      <c r="C36" s="54"/>
      <c r="D36" s="54">
        <v>924</v>
      </c>
      <c r="E36" s="54"/>
      <c r="F36" s="57"/>
      <c r="G36" s="53">
        <v>9</v>
      </c>
      <c r="H36" s="56">
        <v>0</v>
      </c>
      <c r="I36" s="54"/>
      <c r="J36" s="57"/>
      <c r="K36" s="57"/>
      <c r="L36" s="53"/>
      <c r="M36" s="64"/>
      <c r="Q36" s="53"/>
      <c r="R36" s="64"/>
      <c r="V36" s="75"/>
      <c r="Z36" s="75"/>
    </row>
    <row r="37" spans="1:27" ht="15.75" customHeight="1" x14ac:dyDescent="0.35">
      <c r="A37" s="52">
        <v>45847</v>
      </c>
      <c r="B37" s="53"/>
      <c r="C37" s="54"/>
      <c r="D37" s="54"/>
      <c r="E37" s="54"/>
      <c r="F37" s="57"/>
      <c r="G37" s="53"/>
      <c r="H37" s="56"/>
      <c r="I37" s="54"/>
      <c r="K37" s="57"/>
      <c r="L37" s="53">
        <v>9</v>
      </c>
      <c r="M37" s="54">
        <v>0</v>
      </c>
      <c r="Q37" s="53"/>
      <c r="R37" s="54"/>
      <c r="S37" s="54">
        <v>520</v>
      </c>
      <c r="V37" s="75"/>
      <c r="Z37" s="75"/>
    </row>
    <row r="38" spans="1:27" ht="15" customHeight="1" x14ac:dyDescent="0.35">
      <c r="A38" s="52">
        <v>45848</v>
      </c>
      <c r="B38" s="53"/>
      <c r="C38" s="54"/>
      <c r="D38" s="54"/>
      <c r="E38" s="54"/>
      <c r="F38" s="57"/>
      <c r="G38" s="53"/>
      <c r="H38" s="56"/>
      <c r="I38" s="54"/>
      <c r="J38" s="57"/>
      <c r="K38" s="57"/>
      <c r="L38" s="53">
        <v>7.5</v>
      </c>
      <c r="M38" s="54"/>
      <c r="N38" s="64">
        <v>728</v>
      </c>
      <c r="Q38" s="53"/>
      <c r="R38" s="54"/>
      <c r="S38" s="64"/>
      <c r="V38" s="93">
        <v>9</v>
      </c>
      <c r="W38" s="54">
        <v>48</v>
      </c>
      <c r="Z38" s="75"/>
    </row>
    <row r="39" spans="1:27" ht="15.75" customHeight="1" x14ac:dyDescent="0.35">
      <c r="A39" s="52">
        <v>45849</v>
      </c>
      <c r="B39" s="53"/>
      <c r="C39" s="54"/>
      <c r="D39" s="54"/>
      <c r="E39" s="54"/>
      <c r="F39" s="57"/>
      <c r="G39" s="53">
        <v>12</v>
      </c>
      <c r="H39" s="56"/>
      <c r="I39" s="54">
        <v>1658</v>
      </c>
      <c r="J39" s="57"/>
      <c r="K39" s="57"/>
      <c r="L39" s="53"/>
      <c r="M39" s="54"/>
      <c r="N39" s="64">
        <v>464</v>
      </c>
      <c r="Q39" s="53"/>
      <c r="R39" s="54"/>
      <c r="S39" s="64"/>
      <c r="V39" s="93">
        <v>9</v>
      </c>
      <c r="W39" s="54">
        <v>0</v>
      </c>
      <c r="Z39" s="75"/>
    </row>
    <row r="40" spans="1:27" ht="15.75" customHeight="1" x14ac:dyDescent="0.35">
      <c r="A40" s="52">
        <v>45850</v>
      </c>
      <c r="B40" s="53">
        <v>12</v>
      </c>
      <c r="C40" s="54"/>
      <c r="D40" s="54">
        <v>2148.6</v>
      </c>
      <c r="E40" s="54"/>
      <c r="F40" s="57"/>
      <c r="G40" s="53"/>
      <c r="H40" s="56"/>
      <c r="I40" s="54"/>
      <c r="J40" s="57"/>
      <c r="K40" s="57"/>
      <c r="L40" s="53"/>
      <c r="M40" s="54"/>
      <c r="N40" s="54"/>
      <c r="Q40" s="53"/>
      <c r="R40" s="54"/>
      <c r="S40" s="54"/>
      <c r="V40" s="93">
        <v>9</v>
      </c>
      <c r="W40" s="54">
        <v>182</v>
      </c>
    </row>
    <row r="41" spans="1:27" ht="15.75" customHeight="1" x14ac:dyDescent="0.35">
      <c r="A41" s="52">
        <v>45851</v>
      </c>
      <c r="B41" s="53"/>
      <c r="C41" s="54"/>
      <c r="D41" s="54"/>
      <c r="E41" s="54"/>
      <c r="F41" s="57"/>
      <c r="G41" s="53"/>
      <c r="H41" s="56"/>
      <c r="I41" s="54"/>
      <c r="J41" s="57"/>
      <c r="K41" s="57"/>
      <c r="L41" s="53">
        <v>7.5</v>
      </c>
      <c r="M41" s="54"/>
      <c r="N41" s="64">
        <v>128</v>
      </c>
      <c r="Q41" s="53"/>
      <c r="R41" s="54"/>
      <c r="S41" s="54">
        <v>1280</v>
      </c>
      <c r="V41" s="75"/>
      <c r="Z41" s="75"/>
    </row>
    <row r="42" spans="1:27" ht="15.65" customHeight="1" x14ac:dyDescent="0.35">
      <c r="A42" s="52">
        <v>45852</v>
      </c>
      <c r="B42" s="53"/>
      <c r="C42" s="54"/>
      <c r="D42" s="54"/>
      <c r="E42" s="54"/>
      <c r="F42" s="57"/>
      <c r="G42" s="53">
        <v>11.5</v>
      </c>
      <c r="H42" s="56"/>
      <c r="I42" s="54">
        <v>1771</v>
      </c>
      <c r="J42" s="54"/>
      <c r="K42" s="57"/>
      <c r="L42" s="53"/>
      <c r="M42" s="54"/>
      <c r="Q42" s="53"/>
      <c r="R42" s="54">
        <v>154</v>
      </c>
      <c r="V42" s="75"/>
      <c r="Z42" s="75"/>
    </row>
    <row r="43" spans="1:27" ht="15.65" customHeight="1" x14ac:dyDescent="0.35">
      <c r="A43" s="52">
        <v>45853</v>
      </c>
      <c r="B43" s="53">
        <v>12</v>
      </c>
      <c r="C43" s="54"/>
      <c r="D43" s="54">
        <v>0</v>
      </c>
      <c r="E43" s="54"/>
      <c r="F43" s="57"/>
      <c r="G43" s="53">
        <v>8</v>
      </c>
      <c r="H43" s="56">
        <v>0</v>
      </c>
      <c r="I43" s="54"/>
      <c r="J43" s="57"/>
      <c r="K43" s="57"/>
      <c r="L43" s="53"/>
      <c r="M43" s="54"/>
      <c r="Q43" s="53"/>
      <c r="R43" s="54"/>
      <c r="S43" s="54"/>
    </row>
    <row r="44" spans="1:27" ht="15.65" customHeight="1" x14ac:dyDescent="0.35">
      <c r="A44" s="52">
        <v>45854</v>
      </c>
      <c r="B44" s="53"/>
      <c r="C44" s="54"/>
      <c r="D44" s="54"/>
      <c r="E44" s="54"/>
      <c r="F44" s="57"/>
      <c r="G44" s="53"/>
      <c r="H44" s="56"/>
      <c r="I44" s="54"/>
      <c r="J44" s="57"/>
      <c r="K44" s="57"/>
      <c r="L44" s="53"/>
      <c r="M44" s="54"/>
      <c r="Q44" s="53"/>
      <c r="R44" s="54">
        <v>300</v>
      </c>
      <c r="S44" s="54"/>
    </row>
    <row r="45" spans="1:27" ht="15.65" customHeight="1" x14ac:dyDescent="0.35">
      <c r="A45" s="52">
        <v>45855</v>
      </c>
      <c r="B45" s="53"/>
      <c r="C45" s="54"/>
      <c r="D45" s="54"/>
      <c r="E45" s="54"/>
      <c r="F45" s="57"/>
      <c r="G45" s="65"/>
      <c r="H45" s="56"/>
      <c r="I45" s="54"/>
      <c r="J45" s="57"/>
      <c r="K45" s="57"/>
      <c r="L45" s="53">
        <v>11.5</v>
      </c>
      <c r="M45" s="54"/>
      <c r="N45" s="54">
        <v>0</v>
      </c>
      <c r="Q45" s="53"/>
      <c r="R45" s="54"/>
      <c r="S45" s="54"/>
      <c r="Z45" s="75">
        <v>9</v>
      </c>
      <c r="AA45" s="54">
        <v>190</v>
      </c>
    </row>
    <row r="46" spans="1:27" ht="15.75" customHeight="1" x14ac:dyDescent="0.35">
      <c r="A46" s="52">
        <v>45856</v>
      </c>
      <c r="B46" s="53"/>
      <c r="C46" s="54"/>
      <c r="D46" s="54"/>
      <c r="E46" s="54"/>
      <c r="F46" s="57"/>
      <c r="G46" s="65">
        <v>10</v>
      </c>
      <c r="H46" s="56"/>
      <c r="I46" s="54">
        <v>996.5</v>
      </c>
      <c r="J46" s="57"/>
      <c r="K46" s="57"/>
      <c r="L46" s="53">
        <v>11.5</v>
      </c>
      <c r="M46" s="54">
        <v>378</v>
      </c>
      <c r="Q46" s="53"/>
      <c r="R46" s="54"/>
      <c r="S46" s="54">
        <v>480</v>
      </c>
      <c r="V46" s="75"/>
      <c r="Z46" s="75"/>
      <c r="AA46" s="54"/>
    </row>
    <row r="47" spans="1:27" ht="15.75" customHeight="1" x14ac:dyDescent="0.35">
      <c r="A47" s="52">
        <v>45857</v>
      </c>
      <c r="B47" s="53">
        <v>12</v>
      </c>
      <c r="C47" s="54"/>
      <c r="D47" s="54">
        <v>1470</v>
      </c>
      <c r="E47" s="54"/>
      <c r="F47" s="57"/>
      <c r="G47" s="53"/>
      <c r="H47" s="56"/>
      <c r="I47" s="54"/>
      <c r="J47" s="54"/>
      <c r="K47" s="57"/>
      <c r="L47" s="65"/>
      <c r="M47" s="54"/>
      <c r="Q47" s="65"/>
      <c r="R47" s="54"/>
      <c r="V47" s="93">
        <v>10</v>
      </c>
      <c r="W47" s="54">
        <v>182</v>
      </c>
      <c r="Z47" s="75"/>
      <c r="AA47" s="54"/>
    </row>
    <row r="48" spans="1:27" ht="15.65" customHeight="1" x14ac:dyDescent="0.35">
      <c r="A48" s="52">
        <v>45858</v>
      </c>
      <c r="B48" s="53"/>
      <c r="C48" s="54"/>
      <c r="E48" s="54"/>
      <c r="F48" s="57"/>
      <c r="G48" s="53"/>
      <c r="H48" s="56"/>
      <c r="I48" s="54"/>
      <c r="J48" s="57"/>
      <c r="K48" s="57"/>
      <c r="L48" s="53">
        <v>7.5</v>
      </c>
      <c r="M48" s="54"/>
      <c r="N48" s="64">
        <v>1213</v>
      </c>
      <c r="S48" s="64"/>
      <c r="V48" s="53">
        <v>6.5</v>
      </c>
      <c r="W48" s="54">
        <v>0</v>
      </c>
      <c r="Z48" s="75"/>
    </row>
    <row r="49" spans="1:27" ht="15.75" customHeight="1" x14ac:dyDescent="0.35">
      <c r="A49" s="52">
        <v>45859</v>
      </c>
      <c r="B49" s="53"/>
      <c r="C49" s="54"/>
      <c r="D49" s="54"/>
      <c r="E49" s="54"/>
      <c r="F49" s="57"/>
      <c r="G49" s="53">
        <v>9.5</v>
      </c>
      <c r="H49" s="56"/>
      <c r="I49" s="54">
        <v>0</v>
      </c>
      <c r="J49" s="57"/>
      <c r="K49" s="57"/>
      <c r="L49" s="53"/>
      <c r="M49" s="54"/>
      <c r="N49" s="54"/>
      <c r="S49" s="54"/>
      <c r="V49" s="53">
        <v>9</v>
      </c>
      <c r="W49" s="54">
        <v>0</v>
      </c>
    </row>
    <row r="50" spans="1:27" ht="15.75" customHeight="1" x14ac:dyDescent="0.35">
      <c r="A50" s="52">
        <v>45860</v>
      </c>
      <c r="B50" s="53">
        <v>12</v>
      </c>
      <c r="C50" s="54"/>
      <c r="D50" s="54">
        <v>60</v>
      </c>
      <c r="E50" s="54"/>
      <c r="F50" s="57"/>
      <c r="G50" s="53">
        <v>8.5</v>
      </c>
      <c r="H50" s="56">
        <v>0</v>
      </c>
      <c r="I50" s="54"/>
      <c r="J50" s="54"/>
      <c r="K50" s="57"/>
      <c r="L50" s="53"/>
      <c r="M50" s="54"/>
      <c r="N50" s="54"/>
      <c r="O50" s="54"/>
      <c r="S50" s="54"/>
      <c r="T50" s="54"/>
      <c r="U50" s="54"/>
      <c r="V50" s="53"/>
      <c r="W50" s="54"/>
    </row>
    <row r="51" spans="1:27" ht="15.75" customHeight="1" x14ac:dyDescent="0.35">
      <c r="A51" s="52">
        <v>45861</v>
      </c>
      <c r="B51" s="53"/>
      <c r="C51" s="54"/>
      <c r="D51" s="54"/>
      <c r="E51" s="54"/>
      <c r="F51" s="57"/>
      <c r="G51" s="65"/>
      <c r="H51" s="56"/>
      <c r="I51" s="54"/>
      <c r="J51" s="54"/>
      <c r="K51" s="57"/>
      <c r="L51" s="65"/>
      <c r="M51" s="54"/>
      <c r="S51" s="54">
        <v>224</v>
      </c>
      <c r="V51" s="65">
        <v>9</v>
      </c>
      <c r="W51" s="54">
        <v>0</v>
      </c>
    </row>
    <row r="52" spans="1:27" ht="15.75" customHeight="1" x14ac:dyDescent="0.35">
      <c r="A52" s="52">
        <v>45862</v>
      </c>
      <c r="B52" s="53"/>
      <c r="C52" s="54"/>
      <c r="D52" s="54"/>
      <c r="E52" s="54"/>
      <c r="F52" s="57"/>
      <c r="G52" s="53"/>
      <c r="H52" s="56"/>
      <c r="I52" s="54"/>
      <c r="J52" s="57"/>
      <c r="K52" s="57"/>
      <c r="L52" s="53">
        <v>12</v>
      </c>
      <c r="M52" s="54"/>
      <c r="N52" s="54">
        <v>60</v>
      </c>
      <c r="O52" s="16"/>
      <c r="T52" s="16"/>
      <c r="U52" s="16"/>
      <c r="V52" s="53">
        <v>9</v>
      </c>
      <c r="W52" s="54">
        <v>210</v>
      </c>
    </row>
    <row r="53" spans="1:27" ht="15.75" customHeight="1" x14ac:dyDescent="0.35">
      <c r="A53" s="52">
        <v>45863</v>
      </c>
      <c r="B53" s="53"/>
      <c r="C53" s="54"/>
      <c r="D53" s="54">
        <v>30</v>
      </c>
      <c r="E53" s="54"/>
      <c r="F53" s="57"/>
      <c r="G53" s="65">
        <v>12.5</v>
      </c>
      <c r="H53" s="56"/>
      <c r="I53" s="54">
        <v>30</v>
      </c>
      <c r="J53" s="57"/>
      <c r="K53" s="57"/>
      <c r="L53" s="53"/>
      <c r="M53" s="54"/>
      <c r="N53" s="64"/>
      <c r="V53" s="53">
        <v>8</v>
      </c>
      <c r="W53" s="54">
        <v>0</v>
      </c>
      <c r="Z53" s="75"/>
    </row>
    <row r="54" spans="1:27" ht="15.75" customHeight="1" x14ac:dyDescent="0.35">
      <c r="A54" s="52">
        <v>45864</v>
      </c>
      <c r="B54" s="53">
        <v>12.5</v>
      </c>
      <c r="C54" s="54"/>
      <c r="D54" s="54">
        <v>738.35</v>
      </c>
      <c r="E54" s="54"/>
      <c r="F54" s="57"/>
      <c r="G54" s="53"/>
      <c r="H54" s="56"/>
      <c r="I54" s="54">
        <v>738.35</v>
      </c>
      <c r="J54" s="57"/>
      <c r="K54" s="57"/>
      <c r="L54" s="53"/>
      <c r="M54" s="54"/>
      <c r="S54" s="54"/>
      <c r="V54" s="53">
        <v>8</v>
      </c>
      <c r="W54" s="54">
        <v>0</v>
      </c>
      <c r="Z54" s="75"/>
    </row>
    <row r="55" spans="1:27" ht="15.75" customHeight="1" x14ac:dyDescent="0.35">
      <c r="A55" s="52">
        <v>45865</v>
      </c>
      <c r="B55" s="53"/>
      <c r="C55" s="54"/>
      <c r="D55" s="54"/>
      <c r="E55" s="54"/>
      <c r="F55" s="57"/>
      <c r="G55" s="53"/>
      <c r="H55" s="56"/>
      <c r="I55" s="54"/>
      <c r="J55" s="60"/>
      <c r="K55" s="57"/>
      <c r="L55" s="53">
        <v>12</v>
      </c>
      <c r="M55" s="54"/>
      <c r="N55" s="54">
        <v>522</v>
      </c>
      <c r="V55" s="53"/>
      <c r="W55" s="54"/>
      <c r="Z55" s="75"/>
    </row>
    <row r="56" spans="1:27" ht="15.75" customHeight="1" x14ac:dyDescent="0.35">
      <c r="A56" s="52">
        <v>45866</v>
      </c>
      <c r="B56" s="53"/>
      <c r="C56" s="54"/>
      <c r="D56" s="54"/>
      <c r="E56" s="54"/>
      <c r="F56" s="57"/>
      <c r="G56" s="53">
        <v>12</v>
      </c>
      <c r="H56" s="56"/>
      <c r="I56" s="54">
        <v>60</v>
      </c>
      <c r="J56" s="57"/>
      <c r="K56" s="57"/>
      <c r="L56" s="53"/>
      <c r="M56" s="54"/>
      <c r="N56" s="54"/>
      <c r="O56" s="54"/>
      <c r="V56" s="53"/>
      <c r="W56" s="54"/>
      <c r="Z56" s="75">
        <v>9</v>
      </c>
      <c r="AA56" s="54">
        <v>200</v>
      </c>
    </row>
    <row r="57" spans="1:27" ht="15.75" customHeight="1" x14ac:dyDescent="0.35">
      <c r="A57" s="52">
        <v>45867</v>
      </c>
      <c r="B57" s="53"/>
      <c r="C57" s="54"/>
      <c r="D57" s="54"/>
      <c r="E57" s="54"/>
      <c r="F57" s="57"/>
      <c r="G57" s="53">
        <v>8</v>
      </c>
      <c r="H57" s="56"/>
      <c r="I57" s="54">
        <v>224</v>
      </c>
      <c r="J57" s="57"/>
      <c r="K57" s="57"/>
      <c r="L57" s="66"/>
      <c r="M57" s="54"/>
      <c r="N57" s="54"/>
      <c r="S57" s="54"/>
      <c r="V57" s="66">
        <v>9</v>
      </c>
      <c r="W57" s="54">
        <v>0</v>
      </c>
      <c r="Z57" s="75"/>
    </row>
    <row r="58" spans="1:27" ht="15.75" customHeight="1" x14ac:dyDescent="0.35">
      <c r="A58" s="52">
        <v>45868</v>
      </c>
      <c r="B58" s="53"/>
      <c r="C58" s="54"/>
      <c r="D58" s="54"/>
      <c r="E58" s="54"/>
      <c r="F58" s="57"/>
      <c r="G58" s="53"/>
      <c r="H58" s="56"/>
      <c r="I58" s="54"/>
      <c r="J58" s="57"/>
      <c r="K58" s="57"/>
      <c r="L58" s="66"/>
      <c r="M58" s="54"/>
      <c r="V58" s="66"/>
      <c r="W58" s="54"/>
      <c r="Z58" s="75">
        <v>8.5</v>
      </c>
      <c r="AA58" s="54">
        <v>0</v>
      </c>
    </row>
    <row r="59" spans="1:27" ht="15.75" customHeight="1" x14ac:dyDescent="0.35">
      <c r="A59" s="52">
        <v>45869</v>
      </c>
      <c r="B59" s="53"/>
      <c r="C59" s="54"/>
      <c r="D59" s="54"/>
      <c r="E59" s="54"/>
      <c r="F59" s="57"/>
      <c r="G59" s="53"/>
      <c r="H59" s="56"/>
      <c r="I59" s="54"/>
      <c r="J59" s="57"/>
      <c r="K59" s="57"/>
      <c r="L59" s="66">
        <v>6</v>
      </c>
      <c r="M59" s="54"/>
      <c r="N59" s="54">
        <v>224</v>
      </c>
      <c r="Q59" s="66"/>
      <c r="R59" s="54"/>
      <c r="S59" s="54">
        <v>240</v>
      </c>
      <c r="V59" s="75">
        <v>9</v>
      </c>
      <c r="W59" s="54">
        <v>0</v>
      </c>
      <c r="Z59" s="7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 2025</vt:lpstr>
      <vt:lpstr>Feb 2025</vt:lpstr>
      <vt:lpstr>March 2025</vt:lpstr>
      <vt:lpstr>April 2025</vt:lpstr>
      <vt:lpstr>May 2025</vt:lpstr>
      <vt:lpstr>June 2025</vt:lpstr>
      <vt:lpstr>Aug 2025</vt:lpstr>
      <vt:lpstr>Sep 2025</vt:lpstr>
      <vt:lpstr>Oct 2025</vt:lpstr>
      <vt:lpstr>Nov 2025</vt:lpstr>
      <vt:lpstr>Dec 2025</vt:lpstr>
      <vt:lpstr>Sheet3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Gladis Heng</dc:creator>
  <cp:lastModifiedBy>Gladis Heng</cp:lastModifiedBy>
  <dcterms:created xsi:type="dcterms:W3CDTF">2025-02-03T15:31:50Z</dcterms:created>
  <dcterms:modified xsi:type="dcterms:W3CDTF">2026-01-06T04:22:23Z</dcterms:modified>
</cp:coreProperties>
</file>